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udentlit-my.sharepoint.com/personal/k00255824_student_lit_ie/Documents/Year 3/Semester 5/Project and Group Dynamics/3rd Year Project/written_documents/"/>
    </mc:Choice>
  </mc:AlternateContent>
  <xr:revisionPtr revIDLastSave="290" documentId="8_{0988F216-5744-4336-BDB7-18B3A2A38DD7}" xr6:coauthVersionLast="47" xr6:coauthVersionMax="47" xr10:uidLastSave="{9BDCF24A-4BCC-4735-833F-7943BA2571AF}"/>
  <bookViews>
    <workbookView xWindow="-108" yWindow="-108" windowWidth="23256" windowHeight="13176" xr2:uid="{E819853A-0DF9-402D-A942-DE769A4EA7E4}"/>
  </bookViews>
  <sheets>
    <sheet name="Sheet1" sheetId="1" r:id="rId1"/>
  </sheets>
  <definedNames>
    <definedName name="display_week">Sheet1!$C$8</definedName>
    <definedName name="task_end" localSheetId="0">Sheet1!$E1</definedName>
    <definedName name="task_progress" localSheetId="0">Sheet1!$B1</definedName>
    <definedName name="task_start" localSheetId="0">Sheet1!$D1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" l="1"/>
  <c r="G8" i="1" l="1"/>
  <c r="G10" i="1"/>
  <c r="H9" i="1"/>
  <c r="H10" i="1" s="1"/>
  <c r="I9" i="1" l="1"/>
  <c r="I10" i="1" s="1"/>
  <c r="J9" i="1" l="1"/>
  <c r="J10" i="1" s="1"/>
  <c r="K9" i="1" l="1"/>
  <c r="K10" i="1" s="1"/>
  <c r="L9" i="1" l="1"/>
  <c r="L10" i="1" s="1"/>
  <c r="M9" i="1" l="1"/>
  <c r="M10" i="1" s="1"/>
  <c r="N9" i="1" l="1"/>
  <c r="N8" i="1" s="1"/>
  <c r="N10" i="1" l="1"/>
  <c r="O9" i="1"/>
  <c r="O10" i="1" s="1"/>
  <c r="P9" i="1" l="1"/>
  <c r="P10" i="1" s="1"/>
  <c r="Q9" i="1" l="1"/>
  <c r="Q10" i="1" s="1"/>
  <c r="R9" i="1" l="1"/>
  <c r="R10" i="1" s="1"/>
  <c r="S9" i="1" l="1"/>
  <c r="S10" i="1" s="1"/>
  <c r="T9" i="1" l="1"/>
  <c r="T10" i="1" s="1"/>
  <c r="U9" i="1" l="1"/>
  <c r="U8" i="1" l="1"/>
  <c r="U10" i="1"/>
  <c r="V9" i="1"/>
  <c r="V10" i="1" s="1"/>
  <c r="W9" i="1" l="1"/>
  <c r="W10" i="1" s="1"/>
  <c r="X9" i="1" l="1"/>
  <c r="X10" i="1" s="1"/>
  <c r="Y9" i="1" l="1"/>
  <c r="Y10" i="1" s="1"/>
  <c r="Z9" i="1" l="1"/>
  <c r="Z10" i="1" s="1"/>
  <c r="AA9" i="1" l="1"/>
  <c r="AA10" i="1" s="1"/>
  <c r="AB9" i="1" l="1"/>
  <c r="AB8" i="1" l="1"/>
  <c r="AB10" i="1"/>
  <c r="AC9" i="1"/>
  <c r="AC10" i="1" s="1"/>
  <c r="AD9" i="1" l="1"/>
  <c r="AD10" i="1" s="1"/>
  <c r="AE9" i="1" l="1"/>
  <c r="AE10" i="1" s="1"/>
  <c r="AF9" i="1" l="1"/>
  <c r="AF10" i="1" s="1"/>
  <c r="AG9" i="1" l="1"/>
  <c r="AG10" i="1" s="1"/>
  <c r="AH9" i="1" l="1"/>
  <c r="AH10" i="1" s="1"/>
  <c r="AI9" i="1" l="1"/>
  <c r="AI8" i="1" l="1"/>
  <c r="AI10" i="1"/>
  <c r="AJ9" i="1"/>
  <c r="AJ10" i="1" s="1"/>
  <c r="AK9" i="1" l="1"/>
  <c r="AK10" i="1" s="1"/>
  <c r="AL9" i="1" l="1"/>
  <c r="AL10" i="1" s="1"/>
  <c r="AM9" i="1" l="1"/>
  <c r="AM10" i="1" s="1"/>
  <c r="AN9" i="1" l="1"/>
  <c r="AN10" i="1" s="1"/>
  <c r="AO9" i="1" l="1"/>
  <c r="AO10" i="1" s="1"/>
  <c r="AP9" i="1" l="1"/>
  <c r="AP8" i="1" l="1"/>
  <c r="AP10" i="1"/>
  <c r="AQ9" i="1"/>
  <c r="AQ10" i="1" s="1"/>
  <c r="AR9" i="1" l="1"/>
  <c r="AR10" i="1" s="1"/>
  <c r="AS9" i="1" l="1"/>
  <c r="AS10" i="1" s="1"/>
  <c r="AT9" i="1" l="1"/>
  <c r="AT10" i="1" s="1"/>
  <c r="AU9" i="1" l="1"/>
  <c r="AU10" i="1" s="1"/>
  <c r="AV9" i="1" l="1"/>
  <c r="AV10" i="1" s="1"/>
  <c r="AW9" i="1" l="1"/>
  <c r="AW8" i="1" l="1"/>
  <c r="AW10" i="1"/>
  <c r="AX9" i="1"/>
  <c r="AX10" i="1" s="1"/>
  <c r="AY9" i="1" l="1"/>
  <c r="AY10" i="1" s="1"/>
  <c r="AZ9" i="1" l="1"/>
  <c r="AZ10" i="1" s="1"/>
  <c r="BA9" i="1" l="1"/>
  <c r="BA10" i="1" s="1"/>
  <c r="BB9" i="1" l="1"/>
  <c r="BB10" i="1" s="1"/>
  <c r="BC9" i="1" l="1"/>
  <c r="BC10" i="1" s="1"/>
  <c r="BD9" i="1" l="1"/>
  <c r="BD8" i="1" l="1"/>
  <c r="BD10" i="1"/>
  <c r="BE9" i="1"/>
  <c r="BE10" i="1" s="1"/>
  <c r="BF9" i="1" l="1"/>
  <c r="BF10" i="1" s="1"/>
  <c r="BG9" i="1" l="1"/>
  <c r="BG10" i="1" s="1"/>
  <c r="BH9" i="1" l="1"/>
  <c r="BH10" i="1" s="1"/>
  <c r="BI9" i="1" l="1"/>
  <c r="BI10" i="1" s="1"/>
  <c r="BJ9" i="1" l="1"/>
  <c r="BJ10" i="1" s="1"/>
  <c r="BK9" i="1" l="1"/>
  <c r="BK8" i="1" l="1"/>
  <c r="BK10" i="1"/>
  <c r="BL9" i="1"/>
  <c r="BL10" i="1" s="1"/>
  <c r="BM9" i="1" l="1"/>
  <c r="BM10" i="1" s="1"/>
  <c r="BN9" i="1" l="1"/>
  <c r="BN10" i="1" s="1"/>
  <c r="BO9" i="1" l="1"/>
  <c r="BO10" i="1" s="1"/>
  <c r="BP9" i="1" l="1"/>
  <c r="BP10" i="1" s="1"/>
  <c r="BQ9" i="1" l="1"/>
  <c r="BQ10" i="1" s="1"/>
  <c r="BR9" i="1" l="1"/>
  <c r="BR8" i="1" l="1"/>
  <c r="BR10" i="1"/>
  <c r="BS9" i="1"/>
  <c r="BS10" i="1" s="1"/>
  <c r="BT9" i="1" l="1"/>
  <c r="BT10" i="1" s="1"/>
  <c r="BU9" i="1" l="1"/>
  <c r="BU10" i="1" s="1"/>
  <c r="BV9" i="1" l="1"/>
  <c r="BV10" i="1" s="1"/>
  <c r="BW9" i="1" l="1"/>
  <c r="BW10" i="1" s="1"/>
  <c r="BX9" i="1" l="1"/>
  <c r="BX10" i="1" s="1"/>
  <c r="BY9" i="1" l="1"/>
  <c r="BY10" i="1" l="1"/>
  <c r="BY8" i="1"/>
  <c r="BZ9" i="1"/>
  <c r="BZ10" i="1" s="1"/>
  <c r="CA9" i="1" l="1"/>
  <c r="CA10" i="1" s="1"/>
  <c r="CB9" i="1" l="1"/>
  <c r="CB10" i="1" s="1"/>
  <c r="CC9" i="1" l="1"/>
  <c r="CC10" i="1" s="1"/>
  <c r="CD9" i="1" l="1"/>
  <c r="CD10" i="1" s="1"/>
  <c r="CE9" i="1" l="1"/>
  <c r="CE10" i="1" s="1"/>
  <c r="CF9" i="1" l="1"/>
  <c r="CF10" i="1" l="1"/>
  <c r="CF8" i="1"/>
  <c r="CG9" i="1"/>
  <c r="CG10" i="1" s="1"/>
  <c r="CH9" i="1" l="1"/>
  <c r="CH10" i="1" s="1"/>
  <c r="CI9" i="1" l="1"/>
  <c r="CI10" i="1" s="1"/>
  <c r="CJ9" i="1" l="1"/>
  <c r="CJ10" i="1" s="1"/>
  <c r="CK9" i="1" l="1"/>
  <c r="CK10" i="1" s="1"/>
  <c r="CL9" i="1" l="1"/>
  <c r="CL10" i="1" s="1"/>
  <c r="CM9" i="1" l="1"/>
  <c r="CM8" i="1" l="1"/>
  <c r="CM10" i="1"/>
  <c r="CN9" i="1"/>
  <c r="CN10" i="1" s="1"/>
  <c r="CO9" i="1" l="1"/>
  <c r="CO10" i="1" s="1"/>
  <c r="CP9" i="1" l="1"/>
  <c r="CP10" i="1" s="1"/>
  <c r="CQ9" i="1" l="1"/>
  <c r="CQ10" i="1" s="1"/>
  <c r="CR9" i="1" l="1"/>
  <c r="CR10" i="1" s="1"/>
  <c r="CS9" i="1" l="1"/>
  <c r="CS10" i="1" s="1"/>
  <c r="CT9" i="1" l="1"/>
  <c r="CT8" i="1" l="1"/>
  <c r="CT10" i="1"/>
  <c r="CU9" i="1"/>
  <c r="CU10" i="1" s="1"/>
  <c r="CV9" i="1" l="1"/>
  <c r="CV10" i="1" s="1"/>
  <c r="CW9" i="1" l="1"/>
  <c r="CW10" i="1" s="1"/>
  <c r="CX9" i="1" l="1"/>
  <c r="CX10" i="1" s="1"/>
  <c r="CY9" i="1" l="1"/>
  <c r="CY10" i="1" s="1"/>
  <c r="CZ9" i="1" l="1"/>
  <c r="CZ10" i="1" s="1"/>
  <c r="DA9" i="1" l="1"/>
  <c r="DA8" i="1" l="1"/>
  <c r="DA10" i="1"/>
  <c r="DB9" i="1"/>
  <c r="DB10" i="1" s="1"/>
  <c r="DC9" i="1" l="1"/>
  <c r="DC10" i="1" s="1"/>
  <c r="DD9" i="1" l="1"/>
  <c r="DD10" i="1" s="1"/>
  <c r="DE9" i="1" l="1"/>
  <c r="DE10" i="1" s="1"/>
  <c r="DF9" i="1" l="1"/>
  <c r="DF10" i="1" s="1"/>
  <c r="DG9" i="1" l="1"/>
  <c r="DG10" i="1" s="1"/>
  <c r="DH9" i="1" l="1"/>
  <c r="DH8" i="1" l="1"/>
  <c r="DH10" i="1"/>
  <c r="DI9" i="1"/>
  <c r="DI10" i="1" s="1"/>
  <c r="DJ9" i="1" l="1"/>
  <c r="DJ10" i="1" s="1"/>
  <c r="DK9" i="1" l="1"/>
  <c r="DK10" i="1" s="1"/>
  <c r="DL9" i="1" l="1"/>
  <c r="DL10" i="1" s="1"/>
  <c r="DM9" i="1" l="1"/>
  <c r="DM10" i="1" s="1"/>
  <c r="DN9" i="1" l="1"/>
  <c r="DN10" i="1" s="1"/>
</calcChain>
</file>

<file path=xl/sharedStrings.xml><?xml version="1.0" encoding="utf-8"?>
<sst xmlns="http://schemas.openxmlformats.org/spreadsheetml/2006/main" count="23" uniqueCount="23">
  <si>
    <t>Task:</t>
  </si>
  <si>
    <t>Start Date:</t>
  </si>
  <si>
    <t>End Date:</t>
  </si>
  <si>
    <t>Build Front-End Layout</t>
  </si>
  <si>
    <t>Build Front-End Functionality</t>
  </si>
  <si>
    <t>Build Back-End Database</t>
  </si>
  <si>
    <t>Research Hosting Possibilities</t>
  </si>
  <si>
    <t>Host website on server</t>
  </si>
  <si>
    <t>Research Artificial Intelligence</t>
  </si>
  <si>
    <t>Teach A.I. to predict usage</t>
  </si>
  <si>
    <t>Implement A.I. in website</t>
  </si>
  <si>
    <t>Presentation on Technical Proposal</t>
  </si>
  <si>
    <t>Trechical Proposal</t>
  </si>
  <si>
    <t>Initial Proposal</t>
  </si>
  <si>
    <t>Technical Review and Design</t>
  </si>
  <si>
    <t>Architecture of Project Elements</t>
  </si>
  <si>
    <t>Data Cleaning and Visualisation</t>
  </si>
  <si>
    <t>Project Start:</t>
  </si>
  <si>
    <t xml:space="preserve"> </t>
  </si>
  <si>
    <t>Display Week:</t>
  </si>
  <si>
    <t>Progress:</t>
  </si>
  <si>
    <t>Arnas Magilevičius, Eoin Delaney, Vinicius Parzanini</t>
  </si>
  <si>
    <t>WATER AND POWER PREDICTION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</si>
</sst>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"/>
    <numFmt numFmtId="165" formatCode="d\-mmm\-yy"/>
    <numFmt numFmtId="166" formatCode="ddd\,\ d\-mmm\-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8" tint="-0.249977111117893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 style="medium">
        <color theme="4" tint="-0.24994659260841701"/>
      </right>
      <top style="thin">
        <color theme="4" tint="-0.24994659260841701"/>
      </top>
      <bottom style="medium">
        <color theme="4" tint="-0.24994659260841701"/>
      </bottom>
      <diagonal/>
    </border>
    <border>
      <left/>
      <right style="thin">
        <color theme="3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3" tint="-0.24994659260841701"/>
      </right>
      <top style="thin">
        <color theme="4" tint="0.59996337778862885"/>
      </top>
      <bottom style="thin">
        <color theme="3" tint="0.39994506668294322"/>
      </bottom>
      <diagonal/>
    </border>
    <border>
      <left/>
      <right/>
      <top style="thin">
        <color theme="4" tint="0.59996337778862885"/>
      </top>
      <bottom style="thin">
        <color theme="3" tint="0.39994506668294322"/>
      </bottom>
      <diagonal/>
    </border>
    <border>
      <left style="thin">
        <color theme="3" tint="-0.24994659260841701"/>
      </left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3" tint="-0.24994659260841701"/>
      </left>
      <right/>
      <top style="thin">
        <color theme="4" tint="0.59996337778862885"/>
      </top>
      <bottom style="thin">
        <color theme="3" tint="0.39994506668294322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 shrinkToFit="1"/>
    </xf>
    <xf numFmtId="164" fontId="2" fillId="3" borderId="0" xfId="0" applyNumberFormat="1" applyFont="1" applyFill="1" applyAlignment="1">
      <alignment horizontal="center" vertical="center" shrinkToFit="1"/>
    </xf>
    <xf numFmtId="164" fontId="2" fillId="3" borderId="6" xfId="0" applyNumberFormat="1" applyFont="1" applyFill="1" applyBorder="1" applyAlignment="1">
      <alignment horizontal="center" vertical="center" shrinkToFit="1"/>
    </xf>
    <xf numFmtId="0" fontId="0" fillId="4" borderId="0" xfId="0" applyFill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9" fontId="0" fillId="0" borderId="9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 indent="1"/>
    </xf>
    <xf numFmtId="0" fontId="1" fillId="2" borderId="11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3" xfId="0" applyBorder="1" applyAlignment="1">
      <alignment horizontal="left" vertical="center" indent="2"/>
    </xf>
    <xf numFmtId="14" fontId="0" fillId="0" borderId="14" xfId="0" applyNumberFormat="1" applyBorder="1" applyAlignment="1">
      <alignment horizontal="left" vertical="center"/>
    </xf>
    <xf numFmtId="0" fontId="0" fillId="0" borderId="15" xfId="0" applyBorder="1" applyAlignment="1">
      <alignment horizontal="left" vertical="center" indent="2"/>
    </xf>
    <xf numFmtId="0" fontId="0" fillId="0" borderId="16" xfId="0" applyBorder="1" applyAlignment="1">
      <alignment horizontal="left" vertical="center"/>
    </xf>
    <xf numFmtId="14" fontId="0" fillId="0" borderId="16" xfId="0" applyNumberFormat="1" applyBorder="1" applyAlignment="1">
      <alignment horizontal="left" vertical="center"/>
    </xf>
    <xf numFmtId="14" fontId="0" fillId="0" borderId="17" xfId="0" applyNumberFormat="1" applyBorder="1" applyAlignment="1">
      <alignment horizontal="left" vertical="center"/>
    </xf>
    <xf numFmtId="0" fontId="2" fillId="2" borderId="0" xfId="0" applyFont="1" applyFill="1" applyAlignment="1">
      <alignment horizontal="center" vertical="center" shrinkToFit="1"/>
    </xf>
    <xf numFmtId="0" fontId="2" fillId="2" borderId="6" xfId="0" applyFont="1" applyFill="1" applyBorder="1" applyAlignment="1">
      <alignment horizontal="center" vertical="center" shrinkToFit="1"/>
    </xf>
    <xf numFmtId="0" fontId="0" fillId="0" borderId="6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 shrinkToFit="1"/>
    </xf>
    <xf numFmtId="0" fontId="0" fillId="0" borderId="5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9" fontId="0" fillId="0" borderId="16" xfId="0" applyNumberForma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4" fontId="2" fillId="4" borderId="0" xfId="0" applyNumberFormat="1" applyFont="1" applyFill="1" applyAlignment="1">
      <alignment horizontal="center" vertical="center" shrinkToFit="1"/>
    </xf>
    <xf numFmtId="0" fontId="2" fillId="4" borderId="0" xfId="0" applyFont="1" applyFill="1" applyAlignment="1">
      <alignment horizontal="center" vertical="center" shrinkToFit="1"/>
    </xf>
    <xf numFmtId="165" fontId="0" fillId="3" borderId="2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</cellXfs>
  <cellStyles count="1">
    <cellStyle name="Normal" xfId="0" builtinId="0"/>
  </cellStyles>
  <dxfs count="2"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 patternType="lightDown">
          <bgColor rgb="FF8CC068"/>
        </patternFill>
      </fill>
      <border>
        <left/>
        <right/>
        <top style="thin">
          <color theme="9" tint="-0.499984740745262"/>
        </top>
        <bottom style="thin">
          <color theme="9" tint="-0.499984740745262"/>
        </bottom>
      </border>
    </dxf>
  </dxfs>
  <tableStyles count="0" defaultTableStyle="TableStyleMedium2" defaultPivotStyle="PivotStyleLight16"/>
  <colors>
    <mruColors>
      <color rgb="FFC5A5DF"/>
      <color rgb="FFFF5757"/>
      <color rgb="FFF67A7A"/>
      <color rgb="FFA97AD0"/>
      <color rgb="FF8CC068"/>
      <color rgb="FF6D8ED1"/>
      <color rgb="FF7199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26" fmlaLink="$C$8" horiz="1" max="100" page="0" val="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5</xdr:row>
          <xdr:rowOff>38100</xdr:rowOff>
        </xdr:from>
        <xdr:to>
          <xdr:col>20</xdr:col>
          <xdr:colOff>236220</xdr:colOff>
          <xdr:row>6</xdr:row>
          <xdr:rowOff>175260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310515</xdr:colOff>
      <xdr:row>0</xdr:row>
      <xdr:rowOff>180974</xdr:rowOff>
    </xdr:from>
    <xdr:to>
      <xdr:col>0</xdr:col>
      <xdr:colOff>2075256</xdr:colOff>
      <xdr:row>10</xdr:row>
      <xdr:rowOff>76199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515" y="180974"/>
          <a:ext cx="1778076" cy="180022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6BC00-0877-4B35-82DC-920846F7DC3C}">
  <sheetPr codeName="Sheet1"/>
  <dimension ref="A1:EB27"/>
  <sheetViews>
    <sheetView showGridLines="0" tabSelected="1" zoomScaleNormal="100" workbookViewId="0">
      <selection activeCell="B26" sqref="B26"/>
    </sheetView>
  </sheetViews>
  <sheetFormatPr defaultRowHeight="14.4" x14ac:dyDescent="0.3"/>
  <cols>
    <col min="1" max="1" width="37.44140625" style="1" customWidth="1"/>
    <col min="2" max="2" width="16.77734375" style="3" customWidth="1"/>
    <col min="3" max="3" width="10.5546875" style="1" bestFit="1" customWidth="1"/>
    <col min="4" max="4" width="13.6640625" style="1" customWidth="1"/>
    <col min="5" max="5" width="13.109375" style="1" customWidth="1"/>
    <col min="6" max="6" width="8.88671875" style="1"/>
    <col min="7" max="132" width="3.77734375" style="1" customWidth="1"/>
    <col min="133" max="16384" width="8.88671875" style="1"/>
  </cols>
  <sheetData>
    <row r="1" spans="1:132" ht="21" x14ac:dyDescent="0.3">
      <c r="A1" s="10" t="s">
        <v>22</v>
      </c>
    </row>
    <row r="2" spans="1:132" x14ac:dyDescent="0.3">
      <c r="A2" s="38" t="s">
        <v>21</v>
      </c>
    </row>
    <row r="7" spans="1:132" x14ac:dyDescent="0.3">
      <c r="B7" s="9" t="s">
        <v>17</v>
      </c>
      <c r="C7" s="44">
        <v>44837</v>
      </c>
      <c r="D7" s="44"/>
    </row>
    <row r="8" spans="1:132" x14ac:dyDescent="0.3">
      <c r="B8" s="9" t="s">
        <v>19</v>
      </c>
      <c r="C8" s="8">
        <v>6</v>
      </c>
      <c r="G8" s="41">
        <f>G9</f>
        <v>44872</v>
      </c>
      <c r="H8" s="42"/>
      <c r="I8" s="42"/>
      <c r="J8" s="42"/>
      <c r="K8" s="42"/>
      <c r="L8" s="42"/>
      <c r="M8" s="43"/>
      <c r="N8" s="41">
        <f>N9</f>
        <v>44879</v>
      </c>
      <c r="O8" s="42"/>
      <c r="P8" s="42"/>
      <c r="Q8" s="42"/>
      <c r="R8" s="42"/>
      <c r="S8" s="42"/>
      <c r="T8" s="43"/>
      <c r="U8" s="41">
        <f t="shared" ref="U8" si="0">U9</f>
        <v>44886</v>
      </c>
      <c r="V8" s="42"/>
      <c r="W8" s="42"/>
      <c r="X8" s="42"/>
      <c r="Y8" s="42"/>
      <c r="Z8" s="42"/>
      <c r="AA8" s="43"/>
      <c r="AB8" s="41">
        <f t="shared" ref="AB8" si="1">AB9</f>
        <v>44893</v>
      </c>
      <c r="AC8" s="42"/>
      <c r="AD8" s="42"/>
      <c r="AE8" s="42"/>
      <c r="AF8" s="42"/>
      <c r="AG8" s="42"/>
      <c r="AH8" s="43"/>
      <c r="AI8" s="41">
        <f t="shared" ref="AI8" si="2">AI9</f>
        <v>44900</v>
      </c>
      <c r="AJ8" s="42"/>
      <c r="AK8" s="42"/>
      <c r="AL8" s="42"/>
      <c r="AM8" s="42"/>
      <c r="AN8" s="42"/>
      <c r="AO8" s="43"/>
      <c r="AP8" s="41">
        <f t="shared" ref="AP8" si="3">AP9</f>
        <v>44907</v>
      </c>
      <c r="AQ8" s="42"/>
      <c r="AR8" s="42"/>
      <c r="AS8" s="42"/>
      <c r="AT8" s="42"/>
      <c r="AU8" s="42"/>
      <c r="AV8" s="43"/>
      <c r="AW8" s="41">
        <f t="shared" ref="AW8" si="4">AW9</f>
        <v>44914</v>
      </c>
      <c r="AX8" s="42"/>
      <c r="AY8" s="42"/>
      <c r="AZ8" s="42"/>
      <c r="BA8" s="42"/>
      <c r="BB8" s="42"/>
      <c r="BC8" s="43"/>
      <c r="BD8" s="41">
        <f t="shared" ref="BD8" si="5">BD9</f>
        <v>44921</v>
      </c>
      <c r="BE8" s="42"/>
      <c r="BF8" s="42"/>
      <c r="BG8" s="42"/>
      <c r="BH8" s="42"/>
      <c r="BI8" s="42"/>
      <c r="BJ8" s="43"/>
      <c r="BK8" s="41">
        <f t="shared" ref="BK8" si="6">BK9</f>
        <v>44928</v>
      </c>
      <c r="BL8" s="42"/>
      <c r="BM8" s="42"/>
      <c r="BN8" s="42"/>
      <c r="BO8" s="42"/>
      <c r="BP8" s="42"/>
      <c r="BQ8" s="43"/>
      <c r="BR8" s="41">
        <f t="shared" ref="BR8" si="7">BR9</f>
        <v>44935</v>
      </c>
      <c r="BS8" s="42"/>
      <c r="BT8" s="42"/>
      <c r="BU8" s="42"/>
      <c r="BV8" s="42"/>
      <c r="BW8" s="42"/>
      <c r="BX8" s="43"/>
      <c r="BY8" s="41">
        <f t="shared" ref="BY8" si="8">BY9</f>
        <v>44942</v>
      </c>
      <c r="BZ8" s="42"/>
      <c r="CA8" s="42"/>
      <c r="CB8" s="42"/>
      <c r="CC8" s="42"/>
      <c r="CD8" s="42"/>
      <c r="CE8" s="43"/>
      <c r="CF8" s="41">
        <f t="shared" ref="CF8" si="9">CF9</f>
        <v>44949</v>
      </c>
      <c r="CG8" s="42"/>
      <c r="CH8" s="42"/>
      <c r="CI8" s="42"/>
      <c r="CJ8" s="42"/>
      <c r="CK8" s="42"/>
      <c r="CL8" s="43"/>
      <c r="CM8" s="41">
        <f t="shared" ref="CM8" si="10">CM9</f>
        <v>44956</v>
      </c>
      <c r="CN8" s="42"/>
      <c r="CO8" s="42"/>
      <c r="CP8" s="42"/>
      <c r="CQ8" s="42"/>
      <c r="CR8" s="42"/>
      <c r="CS8" s="43"/>
      <c r="CT8" s="41">
        <f t="shared" ref="CT8" si="11">CT9</f>
        <v>44963</v>
      </c>
      <c r="CU8" s="42"/>
      <c r="CV8" s="42"/>
      <c r="CW8" s="42"/>
      <c r="CX8" s="42"/>
      <c r="CY8" s="42"/>
      <c r="CZ8" s="43"/>
      <c r="DA8" s="41">
        <f t="shared" ref="DA8" si="12">DA9</f>
        <v>44970</v>
      </c>
      <c r="DB8" s="42"/>
      <c r="DC8" s="42"/>
      <c r="DD8" s="42"/>
      <c r="DE8" s="42"/>
      <c r="DF8" s="42"/>
      <c r="DG8" s="43"/>
      <c r="DH8" s="41">
        <f t="shared" ref="DH8" si="13">DH9</f>
        <v>44977</v>
      </c>
      <c r="DI8" s="42"/>
      <c r="DJ8" s="42"/>
      <c r="DK8" s="42"/>
      <c r="DL8" s="42"/>
      <c r="DM8" s="42"/>
      <c r="DN8" s="43"/>
      <c r="DO8" s="45"/>
      <c r="DP8" s="45"/>
      <c r="DQ8" s="45"/>
      <c r="DR8" s="45"/>
      <c r="DS8" s="45"/>
      <c r="DT8" s="45"/>
      <c r="DU8" s="45"/>
      <c r="DV8" s="45"/>
      <c r="DW8" s="45"/>
      <c r="DX8" s="45"/>
      <c r="DY8" s="45"/>
      <c r="DZ8" s="45"/>
      <c r="EA8" s="45"/>
      <c r="EB8" s="45"/>
    </row>
    <row r="9" spans="1:132" s="3" customFormat="1" ht="15" thickBot="1" x14ac:dyDescent="0.35">
      <c r="G9" s="4">
        <f>$C$7+(display_week-1)*7</f>
        <v>44872</v>
      </c>
      <c r="H9" s="5">
        <f>G9+1</f>
        <v>44873</v>
      </c>
      <c r="I9" s="5">
        <f>H9+1</f>
        <v>44874</v>
      </c>
      <c r="J9" s="5">
        <f t="shared" ref="J9:BU9" si="14">I9+1</f>
        <v>44875</v>
      </c>
      <c r="K9" s="5">
        <f t="shared" si="14"/>
        <v>44876</v>
      </c>
      <c r="L9" s="5">
        <f t="shared" si="14"/>
        <v>44877</v>
      </c>
      <c r="M9" s="6">
        <f t="shared" si="14"/>
        <v>44878</v>
      </c>
      <c r="N9" s="4">
        <f t="shared" si="14"/>
        <v>44879</v>
      </c>
      <c r="O9" s="5">
        <f t="shared" si="14"/>
        <v>44880</v>
      </c>
      <c r="P9" s="5">
        <f t="shared" si="14"/>
        <v>44881</v>
      </c>
      <c r="Q9" s="5">
        <f t="shared" si="14"/>
        <v>44882</v>
      </c>
      <c r="R9" s="5">
        <f t="shared" si="14"/>
        <v>44883</v>
      </c>
      <c r="S9" s="5">
        <f t="shared" si="14"/>
        <v>44884</v>
      </c>
      <c r="T9" s="6">
        <f t="shared" si="14"/>
        <v>44885</v>
      </c>
      <c r="U9" s="4">
        <f t="shared" si="14"/>
        <v>44886</v>
      </c>
      <c r="V9" s="5">
        <f t="shared" si="14"/>
        <v>44887</v>
      </c>
      <c r="W9" s="5">
        <f t="shared" si="14"/>
        <v>44888</v>
      </c>
      <c r="X9" s="5">
        <f t="shared" si="14"/>
        <v>44889</v>
      </c>
      <c r="Y9" s="5">
        <f t="shared" si="14"/>
        <v>44890</v>
      </c>
      <c r="Z9" s="5">
        <f t="shared" si="14"/>
        <v>44891</v>
      </c>
      <c r="AA9" s="6">
        <f t="shared" si="14"/>
        <v>44892</v>
      </c>
      <c r="AB9" s="4">
        <f t="shared" si="14"/>
        <v>44893</v>
      </c>
      <c r="AC9" s="5">
        <f t="shared" si="14"/>
        <v>44894</v>
      </c>
      <c r="AD9" s="5">
        <f t="shared" si="14"/>
        <v>44895</v>
      </c>
      <c r="AE9" s="5">
        <f t="shared" si="14"/>
        <v>44896</v>
      </c>
      <c r="AF9" s="5">
        <f t="shared" si="14"/>
        <v>44897</v>
      </c>
      <c r="AG9" s="5">
        <f t="shared" si="14"/>
        <v>44898</v>
      </c>
      <c r="AH9" s="6">
        <f t="shared" si="14"/>
        <v>44899</v>
      </c>
      <c r="AI9" s="4">
        <f t="shared" si="14"/>
        <v>44900</v>
      </c>
      <c r="AJ9" s="5">
        <f t="shared" si="14"/>
        <v>44901</v>
      </c>
      <c r="AK9" s="5">
        <f t="shared" si="14"/>
        <v>44902</v>
      </c>
      <c r="AL9" s="5">
        <f t="shared" si="14"/>
        <v>44903</v>
      </c>
      <c r="AM9" s="5">
        <f t="shared" si="14"/>
        <v>44904</v>
      </c>
      <c r="AN9" s="5">
        <f t="shared" si="14"/>
        <v>44905</v>
      </c>
      <c r="AO9" s="6">
        <f t="shared" si="14"/>
        <v>44906</v>
      </c>
      <c r="AP9" s="4">
        <f t="shared" si="14"/>
        <v>44907</v>
      </c>
      <c r="AQ9" s="5">
        <f t="shared" si="14"/>
        <v>44908</v>
      </c>
      <c r="AR9" s="5">
        <f t="shared" si="14"/>
        <v>44909</v>
      </c>
      <c r="AS9" s="5">
        <f t="shared" si="14"/>
        <v>44910</v>
      </c>
      <c r="AT9" s="5">
        <f t="shared" si="14"/>
        <v>44911</v>
      </c>
      <c r="AU9" s="5">
        <f t="shared" si="14"/>
        <v>44912</v>
      </c>
      <c r="AV9" s="6">
        <f t="shared" si="14"/>
        <v>44913</v>
      </c>
      <c r="AW9" s="4">
        <f t="shared" si="14"/>
        <v>44914</v>
      </c>
      <c r="AX9" s="5">
        <f t="shared" si="14"/>
        <v>44915</v>
      </c>
      <c r="AY9" s="5">
        <f t="shared" si="14"/>
        <v>44916</v>
      </c>
      <c r="AZ9" s="5">
        <f t="shared" si="14"/>
        <v>44917</v>
      </c>
      <c r="BA9" s="5">
        <f t="shared" si="14"/>
        <v>44918</v>
      </c>
      <c r="BB9" s="5">
        <f t="shared" si="14"/>
        <v>44919</v>
      </c>
      <c r="BC9" s="6">
        <f t="shared" si="14"/>
        <v>44920</v>
      </c>
      <c r="BD9" s="4">
        <f t="shared" si="14"/>
        <v>44921</v>
      </c>
      <c r="BE9" s="5">
        <f t="shared" si="14"/>
        <v>44922</v>
      </c>
      <c r="BF9" s="5">
        <f t="shared" si="14"/>
        <v>44923</v>
      </c>
      <c r="BG9" s="5">
        <f t="shared" si="14"/>
        <v>44924</v>
      </c>
      <c r="BH9" s="5">
        <f t="shared" si="14"/>
        <v>44925</v>
      </c>
      <c r="BI9" s="5">
        <f t="shared" si="14"/>
        <v>44926</v>
      </c>
      <c r="BJ9" s="6">
        <f t="shared" si="14"/>
        <v>44927</v>
      </c>
      <c r="BK9" s="4">
        <f t="shared" si="14"/>
        <v>44928</v>
      </c>
      <c r="BL9" s="5">
        <f t="shared" si="14"/>
        <v>44929</v>
      </c>
      <c r="BM9" s="5">
        <f t="shared" si="14"/>
        <v>44930</v>
      </c>
      <c r="BN9" s="5">
        <f t="shared" si="14"/>
        <v>44931</v>
      </c>
      <c r="BO9" s="5">
        <f t="shared" si="14"/>
        <v>44932</v>
      </c>
      <c r="BP9" s="5">
        <f t="shared" si="14"/>
        <v>44933</v>
      </c>
      <c r="BQ9" s="6">
        <f t="shared" si="14"/>
        <v>44934</v>
      </c>
      <c r="BR9" s="4">
        <f t="shared" si="14"/>
        <v>44935</v>
      </c>
      <c r="BS9" s="5">
        <f t="shared" si="14"/>
        <v>44936</v>
      </c>
      <c r="BT9" s="5">
        <f t="shared" si="14"/>
        <v>44937</v>
      </c>
      <c r="BU9" s="5">
        <f t="shared" si="14"/>
        <v>44938</v>
      </c>
      <c r="BV9" s="5">
        <f t="shared" ref="BV9:DN9" si="15">BU9+1</f>
        <v>44939</v>
      </c>
      <c r="BW9" s="5">
        <f t="shared" si="15"/>
        <v>44940</v>
      </c>
      <c r="BX9" s="6">
        <f t="shared" si="15"/>
        <v>44941</v>
      </c>
      <c r="BY9" s="4">
        <f t="shared" si="15"/>
        <v>44942</v>
      </c>
      <c r="BZ9" s="5">
        <f t="shared" si="15"/>
        <v>44943</v>
      </c>
      <c r="CA9" s="5">
        <f t="shared" si="15"/>
        <v>44944</v>
      </c>
      <c r="CB9" s="5">
        <f t="shared" si="15"/>
        <v>44945</v>
      </c>
      <c r="CC9" s="5">
        <f t="shared" si="15"/>
        <v>44946</v>
      </c>
      <c r="CD9" s="5">
        <f t="shared" si="15"/>
        <v>44947</v>
      </c>
      <c r="CE9" s="6">
        <f t="shared" si="15"/>
        <v>44948</v>
      </c>
      <c r="CF9" s="4">
        <f t="shared" si="15"/>
        <v>44949</v>
      </c>
      <c r="CG9" s="5">
        <f t="shared" si="15"/>
        <v>44950</v>
      </c>
      <c r="CH9" s="5">
        <f t="shared" si="15"/>
        <v>44951</v>
      </c>
      <c r="CI9" s="5">
        <f t="shared" si="15"/>
        <v>44952</v>
      </c>
      <c r="CJ9" s="5">
        <f t="shared" si="15"/>
        <v>44953</v>
      </c>
      <c r="CK9" s="5">
        <f t="shared" si="15"/>
        <v>44954</v>
      </c>
      <c r="CL9" s="6">
        <f t="shared" si="15"/>
        <v>44955</v>
      </c>
      <c r="CM9" s="4">
        <f t="shared" si="15"/>
        <v>44956</v>
      </c>
      <c r="CN9" s="5">
        <f t="shared" si="15"/>
        <v>44957</v>
      </c>
      <c r="CO9" s="5">
        <f t="shared" si="15"/>
        <v>44958</v>
      </c>
      <c r="CP9" s="5">
        <f t="shared" si="15"/>
        <v>44959</v>
      </c>
      <c r="CQ9" s="5">
        <f t="shared" si="15"/>
        <v>44960</v>
      </c>
      <c r="CR9" s="5">
        <f t="shared" si="15"/>
        <v>44961</v>
      </c>
      <c r="CS9" s="6">
        <f t="shared" si="15"/>
        <v>44962</v>
      </c>
      <c r="CT9" s="4">
        <f t="shared" si="15"/>
        <v>44963</v>
      </c>
      <c r="CU9" s="5">
        <f t="shared" si="15"/>
        <v>44964</v>
      </c>
      <c r="CV9" s="5">
        <f t="shared" si="15"/>
        <v>44965</v>
      </c>
      <c r="CW9" s="5">
        <f t="shared" si="15"/>
        <v>44966</v>
      </c>
      <c r="CX9" s="5">
        <f t="shared" si="15"/>
        <v>44967</v>
      </c>
      <c r="CY9" s="5">
        <f t="shared" si="15"/>
        <v>44968</v>
      </c>
      <c r="CZ9" s="6">
        <f t="shared" si="15"/>
        <v>44969</v>
      </c>
      <c r="DA9" s="4">
        <f t="shared" si="15"/>
        <v>44970</v>
      </c>
      <c r="DB9" s="5">
        <f t="shared" si="15"/>
        <v>44971</v>
      </c>
      <c r="DC9" s="5">
        <f t="shared" si="15"/>
        <v>44972</v>
      </c>
      <c r="DD9" s="5">
        <f t="shared" si="15"/>
        <v>44973</v>
      </c>
      <c r="DE9" s="5">
        <f t="shared" si="15"/>
        <v>44974</v>
      </c>
      <c r="DF9" s="5">
        <f t="shared" si="15"/>
        <v>44975</v>
      </c>
      <c r="DG9" s="6">
        <f t="shared" si="15"/>
        <v>44976</v>
      </c>
      <c r="DH9" s="4">
        <f t="shared" si="15"/>
        <v>44977</v>
      </c>
      <c r="DI9" s="5">
        <f t="shared" si="15"/>
        <v>44978</v>
      </c>
      <c r="DJ9" s="5">
        <f t="shared" si="15"/>
        <v>44979</v>
      </c>
      <c r="DK9" s="5">
        <f t="shared" si="15"/>
        <v>44980</v>
      </c>
      <c r="DL9" s="5">
        <f t="shared" si="15"/>
        <v>44981</v>
      </c>
      <c r="DM9" s="5">
        <f t="shared" si="15"/>
        <v>44982</v>
      </c>
      <c r="DN9" s="6">
        <f t="shared" si="15"/>
        <v>44983</v>
      </c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</row>
    <row r="10" spans="1:132" s="7" customFormat="1" x14ac:dyDescent="0.3">
      <c r="A10" s="15" t="s">
        <v>0</v>
      </c>
      <c r="B10" s="16" t="s">
        <v>20</v>
      </c>
      <c r="C10" s="17"/>
      <c r="D10" s="16" t="s">
        <v>1</v>
      </c>
      <c r="E10" s="18" t="s">
        <v>2</v>
      </c>
      <c r="G10" s="33" t="str">
        <f t="shared" ref="G10:AL10" si="16">LEFT(TEXT(G9,"ddd"))</f>
        <v>M</v>
      </c>
      <c r="H10" s="27" t="str">
        <f t="shared" si="16"/>
        <v>T</v>
      </c>
      <c r="I10" s="27" t="str">
        <f t="shared" si="16"/>
        <v>W</v>
      </c>
      <c r="J10" s="27" t="str">
        <f t="shared" si="16"/>
        <v>T</v>
      </c>
      <c r="K10" s="27" t="str">
        <f t="shared" si="16"/>
        <v>F</v>
      </c>
      <c r="L10" s="27" t="str">
        <f t="shared" si="16"/>
        <v>S</v>
      </c>
      <c r="M10" s="28" t="str">
        <f t="shared" si="16"/>
        <v>S</v>
      </c>
      <c r="N10" s="33" t="str">
        <f t="shared" si="16"/>
        <v>M</v>
      </c>
      <c r="O10" s="27" t="str">
        <f t="shared" si="16"/>
        <v>T</v>
      </c>
      <c r="P10" s="27" t="str">
        <f t="shared" si="16"/>
        <v>W</v>
      </c>
      <c r="Q10" s="27" t="str">
        <f t="shared" si="16"/>
        <v>T</v>
      </c>
      <c r="R10" s="27" t="str">
        <f t="shared" si="16"/>
        <v>F</v>
      </c>
      <c r="S10" s="27" t="str">
        <f t="shared" si="16"/>
        <v>S</v>
      </c>
      <c r="T10" s="28" t="str">
        <f t="shared" si="16"/>
        <v>S</v>
      </c>
      <c r="U10" s="33" t="str">
        <f t="shared" si="16"/>
        <v>M</v>
      </c>
      <c r="V10" s="27" t="str">
        <f t="shared" si="16"/>
        <v>T</v>
      </c>
      <c r="W10" s="27" t="str">
        <f t="shared" si="16"/>
        <v>W</v>
      </c>
      <c r="X10" s="27" t="str">
        <f t="shared" si="16"/>
        <v>T</v>
      </c>
      <c r="Y10" s="27" t="str">
        <f t="shared" si="16"/>
        <v>F</v>
      </c>
      <c r="Z10" s="27" t="str">
        <f t="shared" si="16"/>
        <v>S</v>
      </c>
      <c r="AA10" s="28" t="str">
        <f t="shared" si="16"/>
        <v>S</v>
      </c>
      <c r="AB10" s="33" t="str">
        <f t="shared" si="16"/>
        <v>M</v>
      </c>
      <c r="AC10" s="27" t="str">
        <f t="shared" si="16"/>
        <v>T</v>
      </c>
      <c r="AD10" s="27" t="str">
        <f t="shared" si="16"/>
        <v>W</v>
      </c>
      <c r="AE10" s="27" t="str">
        <f t="shared" si="16"/>
        <v>T</v>
      </c>
      <c r="AF10" s="27" t="str">
        <f t="shared" si="16"/>
        <v>F</v>
      </c>
      <c r="AG10" s="27" t="str">
        <f t="shared" si="16"/>
        <v>S</v>
      </c>
      <c r="AH10" s="28" t="str">
        <f t="shared" si="16"/>
        <v>S</v>
      </c>
      <c r="AI10" s="33" t="str">
        <f t="shared" si="16"/>
        <v>M</v>
      </c>
      <c r="AJ10" s="27" t="str">
        <f t="shared" si="16"/>
        <v>T</v>
      </c>
      <c r="AK10" s="27" t="str">
        <f t="shared" si="16"/>
        <v>W</v>
      </c>
      <c r="AL10" s="27" t="str">
        <f t="shared" si="16"/>
        <v>T</v>
      </c>
      <c r="AM10" s="27" t="str">
        <f t="shared" ref="AM10:BR10" si="17">LEFT(TEXT(AM9,"ddd"))</f>
        <v>F</v>
      </c>
      <c r="AN10" s="27" t="str">
        <f t="shared" si="17"/>
        <v>S</v>
      </c>
      <c r="AO10" s="28" t="str">
        <f t="shared" si="17"/>
        <v>S</v>
      </c>
      <c r="AP10" s="33" t="str">
        <f t="shared" si="17"/>
        <v>M</v>
      </c>
      <c r="AQ10" s="27" t="str">
        <f t="shared" si="17"/>
        <v>T</v>
      </c>
      <c r="AR10" s="27" t="str">
        <f t="shared" si="17"/>
        <v>W</v>
      </c>
      <c r="AS10" s="27" t="str">
        <f t="shared" si="17"/>
        <v>T</v>
      </c>
      <c r="AT10" s="27" t="str">
        <f t="shared" si="17"/>
        <v>F</v>
      </c>
      <c r="AU10" s="27" t="str">
        <f t="shared" si="17"/>
        <v>S</v>
      </c>
      <c r="AV10" s="28" t="str">
        <f t="shared" si="17"/>
        <v>S</v>
      </c>
      <c r="AW10" s="33" t="str">
        <f t="shared" si="17"/>
        <v>M</v>
      </c>
      <c r="AX10" s="27" t="str">
        <f t="shared" si="17"/>
        <v>T</v>
      </c>
      <c r="AY10" s="27" t="str">
        <f t="shared" si="17"/>
        <v>W</v>
      </c>
      <c r="AZ10" s="27" t="str">
        <f t="shared" si="17"/>
        <v>T</v>
      </c>
      <c r="BA10" s="27" t="str">
        <f t="shared" si="17"/>
        <v>F</v>
      </c>
      <c r="BB10" s="27" t="str">
        <f t="shared" si="17"/>
        <v>S</v>
      </c>
      <c r="BC10" s="28" t="str">
        <f t="shared" si="17"/>
        <v>S</v>
      </c>
      <c r="BD10" s="33" t="str">
        <f t="shared" si="17"/>
        <v>M</v>
      </c>
      <c r="BE10" s="27" t="str">
        <f t="shared" si="17"/>
        <v>T</v>
      </c>
      <c r="BF10" s="27" t="str">
        <f t="shared" si="17"/>
        <v>W</v>
      </c>
      <c r="BG10" s="27" t="str">
        <f t="shared" si="17"/>
        <v>T</v>
      </c>
      <c r="BH10" s="27" t="str">
        <f t="shared" si="17"/>
        <v>F</v>
      </c>
      <c r="BI10" s="27" t="str">
        <f t="shared" si="17"/>
        <v>S</v>
      </c>
      <c r="BJ10" s="28" t="str">
        <f t="shared" si="17"/>
        <v>S</v>
      </c>
      <c r="BK10" s="33" t="str">
        <f t="shared" si="17"/>
        <v>M</v>
      </c>
      <c r="BL10" s="27" t="str">
        <f t="shared" si="17"/>
        <v>T</v>
      </c>
      <c r="BM10" s="27" t="str">
        <f t="shared" si="17"/>
        <v>W</v>
      </c>
      <c r="BN10" s="27" t="str">
        <f t="shared" si="17"/>
        <v>T</v>
      </c>
      <c r="BO10" s="27" t="str">
        <f t="shared" si="17"/>
        <v>F</v>
      </c>
      <c r="BP10" s="27" t="str">
        <f t="shared" si="17"/>
        <v>S</v>
      </c>
      <c r="BQ10" s="28" t="str">
        <f t="shared" si="17"/>
        <v>S</v>
      </c>
      <c r="BR10" s="33" t="str">
        <f t="shared" si="17"/>
        <v>M</v>
      </c>
      <c r="BS10" s="27" t="str">
        <f t="shared" ref="BS10:CX10" si="18">LEFT(TEXT(BS9,"ddd"))</f>
        <v>T</v>
      </c>
      <c r="BT10" s="27" t="str">
        <f t="shared" si="18"/>
        <v>W</v>
      </c>
      <c r="BU10" s="27" t="str">
        <f t="shared" si="18"/>
        <v>T</v>
      </c>
      <c r="BV10" s="27" t="str">
        <f t="shared" si="18"/>
        <v>F</v>
      </c>
      <c r="BW10" s="27" t="str">
        <f t="shared" si="18"/>
        <v>S</v>
      </c>
      <c r="BX10" s="28" t="str">
        <f t="shared" si="18"/>
        <v>S</v>
      </c>
      <c r="BY10" s="33" t="str">
        <f t="shared" si="18"/>
        <v>M</v>
      </c>
      <c r="BZ10" s="27" t="str">
        <f t="shared" si="18"/>
        <v>T</v>
      </c>
      <c r="CA10" s="27" t="str">
        <f t="shared" si="18"/>
        <v>W</v>
      </c>
      <c r="CB10" s="27" t="str">
        <f t="shared" si="18"/>
        <v>T</v>
      </c>
      <c r="CC10" s="27" t="str">
        <f t="shared" si="18"/>
        <v>F</v>
      </c>
      <c r="CD10" s="27" t="str">
        <f t="shared" si="18"/>
        <v>S</v>
      </c>
      <c r="CE10" s="28" t="str">
        <f t="shared" si="18"/>
        <v>S</v>
      </c>
      <c r="CF10" s="33" t="str">
        <f t="shared" si="18"/>
        <v>M</v>
      </c>
      <c r="CG10" s="27" t="str">
        <f t="shared" si="18"/>
        <v>T</v>
      </c>
      <c r="CH10" s="27" t="str">
        <f t="shared" si="18"/>
        <v>W</v>
      </c>
      <c r="CI10" s="27" t="str">
        <f t="shared" si="18"/>
        <v>T</v>
      </c>
      <c r="CJ10" s="27" t="str">
        <f t="shared" si="18"/>
        <v>F</v>
      </c>
      <c r="CK10" s="27" t="str">
        <f t="shared" si="18"/>
        <v>S</v>
      </c>
      <c r="CL10" s="28" t="str">
        <f t="shared" si="18"/>
        <v>S</v>
      </c>
      <c r="CM10" s="33" t="str">
        <f t="shared" si="18"/>
        <v>M</v>
      </c>
      <c r="CN10" s="27" t="str">
        <f t="shared" si="18"/>
        <v>T</v>
      </c>
      <c r="CO10" s="27" t="str">
        <f t="shared" si="18"/>
        <v>W</v>
      </c>
      <c r="CP10" s="27" t="str">
        <f t="shared" si="18"/>
        <v>T</v>
      </c>
      <c r="CQ10" s="27" t="str">
        <f t="shared" si="18"/>
        <v>F</v>
      </c>
      <c r="CR10" s="27" t="str">
        <f t="shared" si="18"/>
        <v>S</v>
      </c>
      <c r="CS10" s="28" t="str">
        <f t="shared" si="18"/>
        <v>S</v>
      </c>
      <c r="CT10" s="33" t="str">
        <f t="shared" si="18"/>
        <v>M</v>
      </c>
      <c r="CU10" s="27" t="str">
        <f t="shared" si="18"/>
        <v>T</v>
      </c>
      <c r="CV10" s="27" t="str">
        <f t="shared" si="18"/>
        <v>W</v>
      </c>
      <c r="CW10" s="27" t="str">
        <f t="shared" si="18"/>
        <v>T</v>
      </c>
      <c r="CX10" s="27" t="str">
        <f t="shared" si="18"/>
        <v>F</v>
      </c>
      <c r="CY10" s="27" t="str">
        <f t="shared" ref="CY10:DN10" si="19">LEFT(TEXT(CY9,"ddd"))</f>
        <v>S</v>
      </c>
      <c r="CZ10" s="28" t="str">
        <f t="shared" si="19"/>
        <v>S</v>
      </c>
      <c r="DA10" s="33" t="str">
        <f t="shared" si="19"/>
        <v>M</v>
      </c>
      <c r="DB10" s="27" t="str">
        <f t="shared" si="19"/>
        <v>T</v>
      </c>
      <c r="DC10" s="27" t="str">
        <f t="shared" si="19"/>
        <v>W</v>
      </c>
      <c r="DD10" s="27" t="str">
        <f t="shared" si="19"/>
        <v>T</v>
      </c>
      <c r="DE10" s="27" t="str">
        <f t="shared" si="19"/>
        <v>F</v>
      </c>
      <c r="DF10" s="27" t="str">
        <f t="shared" si="19"/>
        <v>S</v>
      </c>
      <c r="DG10" s="28" t="str">
        <f t="shared" si="19"/>
        <v>S</v>
      </c>
      <c r="DH10" s="33" t="str">
        <f t="shared" si="19"/>
        <v>M</v>
      </c>
      <c r="DI10" s="27" t="str">
        <f t="shared" si="19"/>
        <v>T</v>
      </c>
      <c r="DJ10" s="27" t="str">
        <f t="shared" si="19"/>
        <v>W</v>
      </c>
      <c r="DK10" s="27" t="str">
        <f t="shared" si="19"/>
        <v>T</v>
      </c>
      <c r="DL10" s="27" t="str">
        <f t="shared" si="19"/>
        <v>F</v>
      </c>
      <c r="DM10" s="27" t="str">
        <f t="shared" si="19"/>
        <v>S</v>
      </c>
      <c r="DN10" s="28" t="str">
        <f t="shared" si="19"/>
        <v>S</v>
      </c>
      <c r="DO10" s="40"/>
      <c r="DP10" s="40"/>
      <c r="DQ10" s="40"/>
      <c r="DR10" s="40"/>
      <c r="DS10" s="40"/>
      <c r="DT10" s="40"/>
      <c r="DU10" s="40"/>
      <c r="DV10" s="40"/>
      <c r="DW10" s="40"/>
      <c r="DX10" s="40"/>
      <c r="DY10" s="40"/>
      <c r="DZ10" s="40"/>
      <c r="EA10" s="40"/>
      <c r="EB10" s="40"/>
    </row>
    <row r="11" spans="1:132" x14ac:dyDescent="0.3">
      <c r="A11" s="19"/>
      <c r="B11" s="11"/>
      <c r="C11" s="12"/>
      <c r="D11" s="12"/>
      <c r="E11" s="20"/>
      <c r="G11" s="34"/>
      <c r="M11" s="29"/>
      <c r="N11" s="34"/>
      <c r="T11" s="29"/>
      <c r="U11" s="34"/>
      <c r="AA11" s="29"/>
      <c r="AB11" s="34"/>
      <c r="AH11" s="29"/>
      <c r="AI11" s="34"/>
      <c r="AO11" s="29"/>
      <c r="AP11" s="34"/>
      <c r="AV11" s="29"/>
      <c r="AW11" s="34"/>
      <c r="BC11" s="29"/>
      <c r="BD11" s="34"/>
      <c r="BJ11" s="29"/>
      <c r="BK11" s="34"/>
      <c r="BQ11" s="29"/>
      <c r="BR11" s="34"/>
      <c r="BX11" s="29"/>
      <c r="BY11" s="34"/>
      <c r="CE11" s="29"/>
      <c r="CF11" s="34"/>
      <c r="CL11" s="29"/>
      <c r="CM11" s="34"/>
      <c r="CS11" s="29"/>
      <c r="CT11" s="34"/>
      <c r="CZ11" s="29"/>
      <c r="DA11" s="34"/>
      <c r="DG11" s="29"/>
      <c r="DH11" s="34"/>
      <c r="DN11" s="29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</row>
    <row r="12" spans="1:132" x14ac:dyDescent="0.3">
      <c r="A12" s="21" t="s">
        <v>15</v>
      </c>
      <c r="B12" s="13">
        <v>0.85</v>
      </c>
      <c r="C12" s="12"/>
      <c r="D12" s="14">
        <v>44837</v>
      </c>
      <c r="E12" s="22">
        <v>44881</v>
      </c>
      <c r="G12" s="35"/>
      <c r="H12" s="2"/>
      <c r="I12" s="2"/>
      <c r="J12" s="2"/>
      <c r="K12" s="2"/>
      <c r="L12" s="2"/>
      <c r="M12" s="30"/>
      <c r="N12" s="35"/>
      <c r="O12" s="2"/>
      <c r="P12" s="2"/>
      <c r="Q12" s="2"/>
      <c r="R12" s="2"/>
      <c r="S12" s="2"/>
      <c r="T12" s="30"/>
      <c r="U12" s="35"/>
      <c r="V12" s="2"/>
      <c r="W12" s="2"/>
      <c r="X12" s="2"/>
      <c r="Y12" s="2"/>
      <c r="Z12" s="2"/>
      <c r="AA12" s="30"/>
      <c r="AB12" s="35"/>
      <c r="AC12" s="2"/>
      <c r="AD12" s="2"/>
      <c r="AE12" s="2"/>
      <c r="AF12" s="2"/>
      <c r="AG12" s="2"/>
      <c r="AH12" s="30"/>
      <c r="AI12" s="35"/>
      <c r="AJ12" s="2"/>
      <c r="AK12" s="2"/>
      <c r="AL12" s="2"/>
      <c r="AM12" s="2"/>
      <c r="AN12" s="2"/>
      <c r="AO12" s="30"/>
      <c r="AP12" s="35"/>
      <c r="AQ12" s="2"/>
      <c r="AR12" s="2"/>
      <c r="AS12" s="2"/>
      <c r="AT12" s="2"/>
      <c r="AU12" s="2"/>
      <c r="AV12" s="30"/>
      <c r="AW12" s="35"/>
      <c r="AX12" s="2"/>
      <c r="AY12" s="2"/>
      <c r="AZ12" s="2"/>
      <c r="BA12" s="2"/>
      <c r="BB12" s="2"/>
      <c r="BC12" s="30"/>
      <c r="BD12" s="35"/>
      <c r="BE12" s="2"/>
      <c r="BF12" s="2"/>
      <c r="BG12" s="2"/>
      <c r="BH12" s="2"/>
      <c r="BI12" s="2"/>
      <c r="BJ12" s="30"/>
      <c r="BK12" s="35"/>
      <c r="BL12" s="2"/>
      <c r="BM12" s="2"/>
      <c r="BN12" s="2"/>
      <c r="BO12" s="2"/>
      <c r="BP12" s="2"/>
      <c r="BQ12" s="30"/>
      <c r="BR12" s="35"/>
      <c r="BS12" s="2"/>
      <c r="BT12" s="2"/>
      <c r="BU12" s="2"/>
      <c r="BV12" s="2"/>
      <c r="BW12" s="2"/>
      <c r="BX12" s="30"/>
      <c r="BY12" s="35"/>
      <c r="BZ12" s="2"/>
      <c r="CA12" s="2"/>
      <c r="CB12" s="2"/>
      <c r="CC12" s="2"/>
      <c r="CD12" s="2"/>
      <c r="CE12" s="30"/>
      <c r="CF12" s="35"/>
      <c r="CG12" s="2"/>
      <c r="CH12" s="2"/>
      <c r="CI12" s="2"/>
      <c r="CJ12" s="2"/>
      <c r="CK12" s="2"/>
      <c r="CL12" s="30"/>
      <c r="CM12" s="35"/>
      <c r="CN12" s="2"/>
      <c r="CO12" s="2"/>
      <c r="CP12" s="2"/>
      <c r="CQ12" s="2"/>
      <c r="CR12" s="2"/>
      <c r="CS12" s="30"/>
      <c r="CT12" s="35"/>
      <c r="CU12" s="2"/>
      <c r="CV12" s="2"/>
      <c r="CW12" s="2"/>
      <c r="CX12" s="2"/>
      <c r="CY12" s="2"/>
      <c r="CZ12" s="30"/>
      <c r="DA12" s="35"/>
      <c r="DB12" s="2"/>
      <c r="DC12" s="2"/>
      <c r="DD12" s="2"/>
      <c r="DE12" s="2"/>
      <c r="DF12" s="2"/>
      <c r="DG12" s="30"/>
      <c r="DH12" s="35"/>
      <c r="DI12" s="2"/>
      <c r="DJ12" s="2"/>
      <c r="DK12" s="2"/>
      <c r="DL12" s="2"/>
      <c r="DM12" s="2"/>
      <c r="DN12" s="30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</row>
    <row r="13" spans="1:132" x14ac:dyDescent="0.3">
      <c r="A13" s="21" t="s">
        <v>3</v>
      </c>
      <c r="B13" s="13">
        <v>0.8</v>
      </c>
      <c r="C13" s="12"/>
      <c r="D13" s="14">
        <v>44855</v>
      </c>
      <c r="E13" s="22">
        <v>44869</v>
      </c>
      <c r="G13" s="35"/>
      <c r="H13" s="2"/>
      <c r="I13" s="2"/>
      <c r="J13" s="2"/>
      <c r="K13" s="2"/>
      <c r="L13" s="2"/>
      <c r="M13" s="30"/>
      <c r="N13" s="35"/>
      <c r="O13" s="2"/>
      <c r="P13" s="2"/>
      <c r="Q13" s="2"/>
      <c r="R13" s="2"/>
      <c r="S13" s="2"/>
      <c r="T13" s="30"/>
      <c r="U13" s="35"/>
      <c r="V13" s="2"/>
      <c r="W13" s="2"/>
      <c r="X13" s="2"/>
      <c r="Y13" s="2"/>
      <c r="Z13" s="2"/>
      <c r="AA13" s="30"/>
      <c r="AB13" s="35"/>
      <c r="AC13" s="2"/>
      <c r="AD13" s="2"/>
      <c r="AE13" s="2"/>
      <c r="AF13" s="2"/>
      <c r="AG13" s="2"/>
      <c r="AH13" s="30"/>
      <c r="AI13" s="35"/>
      <c r="AJ13" s="2"/>
      <c r="AK13" s="2"/>
      <c r="AL13" s="2"/>
      <c r="AM13" s="2"/>
      <c r="AN13" s="2"/>
      <c r="AO13" s="30"/>
      <c r="AP13" s="35"/>
      <c r="AQ13" s="2"/>
      <c r="AR13" s="2"/>
      <c r="AS13" s="2"/>
      <c r="AT13" s="2"/>
      <c r="AU13" s="2"/>
      <c r="AV13" s="30"/>
      <c r="AW13" s="35"/>
      <c r="AX13" s="2"/>
      <c r="AY13" s="2"/>
      <c r="AZ13" s="2"/>
      <c r="BA13" s="2"/>
      <c r="BB13" s="2"/>
      <c r="BC13" s="30"/>
      <c r="BD13" s="35"/>
      <c r="BE13" s="2"/>
      <c r="BF13" s="2"/>
      <c r="BG13" s="2"/>
      <c r="BH13" s="2"/>
      <c r="BI13" s="2"/>
      <c r="BJ13" s="30"/>
      <c r="BK13" s="35"/>
      <c r="BL13" s="2"/>
      <c r="BM13" s="2"/>
      <c r="BN13" s="2"/>
      <c r="BO13" s="2"/>
      <c r="BP13" s="2"/>
      <c r="BQ13" s="30"/>
      <c r="BR13" s="35"/>
      <c r="BS13" s="2"/>
      <c r="BT13" s="2"/>
      <c r="BU13" s="2"/>
      <c r="BV13" s="2"/>
      <c r="BW13" s="2"/>
      <c r="BX13" s="30"/>
      <c r="BY13" s="35"/>
      <c r="BZ13" s="2"/>
      <c r="CA13" s="2"/>
      <c r="CB13" s="2"/>
      <c r="CC13" s="2"/>
      <c r="CD13" s="2"/>
      <c r="CE13" s="30"/>
      <c r="CF13" s="35"/>
      <c r="CG13" s="2"/>
      <c r="CH13" s="2"/>
      <c r="CI13" s="2"/>
      <c r="CJ13" s="2"/>
      <c r="CK13" s="2"/>
      <c r="CL13" s="30"/>
      <c r="CM13" s="35"/>
      <c r="CN13" s="2"/>
      <c r="CO13" s="2"/>
      <c r="CP13" s="2"/>
      <c r="CQ13" s="2"/>
      <c r="CR13" s="2"/>
      <c r="CS13" s="30"/>
      <c r="CT13" s="35"/>
      <c r="CU13" s="2"/>
      <c r="CV13" s="2"/>
      <c r="CW13" s="2"/>
      <c r="CX13" s="2"/>
      <c r="CY13" s="2"/>
      <c r="CZ13" s="30"/>
      <c r="DA13" s="35"/>
      <c r="DB13" s="2"/>
      <c r="DC13" s="2"/>
      <c r="DD13" s="2"/>
      <c r="DE13" s="2"/>
      <c r="DF13" s="2"/>
      <c r="DG13" s="30"/>
      <c r="DH13" s="35"/>
      <c r="DI13" s="2"/>
      <c r="DJ13" s="2"/>
      <c r="DK13" s="2"/>
      <c r="DL13" s="2"/>
      <c r="DM13" s="2"/>
      <c r="DN13" s="30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</row>
    <row r="14" spans="1:132" x14ac:dyDescent="0.3">
      <c r="A14" s="21" t="s">
        <v>4</v>
      </c>
      <c r="B14" s="13">
        <v>0</v>
      </c>
      <c r="C14" s="12"/>
      <c r="D14" s="14">
        <v>44869</v>
      </c>
      <c r="E14" s="22">
        <v>44940</v>
      </c>
      <c r="G14" s="35"/>
      <c r="H14" s="2"/>
      <c r="I14" s="2"/>
      <c r="J14" s="2"/>
      <c r="K14" s="2"/>
      <c r="L14" s="2"/>
      <c r="M14" s="30"/>
      <c r="N14" s="35"/>
      <c r="O14" s="2"/>
      <c r="P14" s="2"/>
      <c r="Q14" s="2"/>
      <c r="R14" s="2"/>
      <c r="S14" s="2"/>
      <c r="T14" s="30"/>
      <c r="U14" s="35"/>
      <c r="V14" s="2"/>
      <c r="W14" s="2"/>
      <c r="X14" s="2"/>
      <c r="Y14" s="2"/>
      <c r="Z14" s="2"/>
      <c r="AA14" s="30"/>
      <c r="AB14" s="35"/>
      <c r="AC14" s="2"/>
      <c r="AD14" s="2"/>
      <c r="AE14" s="2"/>
      <c r="AF14" s="2"/>
      <c r="AG14" s="2"/>
      <c r="AH14" s="30"/>
      <c r="AI14" s="35"/>
      <c r="AJ14" s="2"/>
      <c r="AK14" s="2"/>
      <c r="AL14" s="2"/>
      <c r="AM14" s="2"/>
      <c r="AN14" s="2"/>
      <c r="AO14" s="30"/>
      <c r="AP14" s="35"/>
      <c r="AQ14" s="2"/>
      <c r="AR14" s="2"/>
      <c r="AS14" s="2"/>
      <c r="AT14" s="2"/>
      <c r="AU14" s="2"/>
      <c r="AV14" s="30"/>
      <c r="AW14" s="35"/>
      <c r="AX14" s="2"/>
      <c r="AY14" s="2"/>
      <c r="AZ14" s="2"/>
      <c r="BA14" s="2"/>
      <c r="BB14" s="2"/>
      <c r="BC14" s="30"/>
      <c r="BD14" s="35"/>
      <c r="BE14" s="2"/>
      <c r="BF14" s="2"/>
      <c r="BG14" s="2"/>
      <c r="BH14" s="2"/>
      <c r="BI14" s="2"/>
      <c r="BJ14" s="30"/>
      <c r="BK14" s="35"/>
      <c r="BL14" s="2"/>
      <c r="BM14" s="2"/>
      <c r="BN14" s="2"/>
      <c r="BO14" s="2"/>
      <c r="BP14" s="2"/>
      <c r="BQ14" s="30"/>
      <c r="BR14" s="35"/>
      <c r="BS14" s="2"/>
      <c r="BT14" s="2"/>
      <c r="BU14" s="2"/>
      <c r="BV14" s="2"/>
      <c r="BW14" s="2"/>
      <c r="BX14" s="30"/>
      <c r="BY14" s="35"/>
      <c r="BZ14" s="2"/>
      <c r="CA14" s="2"/>
      <c r="CB14" s="2"/>
      <c r="CC14" s="2"/>
      <c r="CD14" s="2"/>
      <c r="CE14" s="30"/>
      <c r="CF14" s="35"/>
      <c r="CG14" s="2"/>
      <c r="CH14" s="2"/>
      <c r="CI14" s="2"/>
      <c r="CJ14" s="2"/>
      <c r="CK14" s="2"/>
      <c r="CL14" s="30"/>
      <c r="CM14" s="35"/>
      <c r="CN14" s="2"/>
      <c r="CO14" s="2"/>
      <c r="CP14" s="2"/>
      <c r="CQ14" s="2"/>
      <c r="CR14" s="2"/>
      <c r="CS14" s="30"/>
      <c r="CT14" s="35"/>
      <c r="CU14" s="2"/>
      <c r="CV14" s="2"/>
      <c r="CW14" s="2"/>
      <c r="CX14" s="2"/>
      <c r="CY14" s="2"/>
      <c r="CZ14" s="30"/>
      <c r="DA14" s="35"/>
      <c r="DB14" s="2"/>
      <c r="DC14" s="2"/>
      <c r="DD14" s="2"/>
      <c r="DE14" s="2"/>
      <c r="DF14" s="2"/>
      <c r="DG14" s="30"/>
      <c r="DH14" s="35"/>
      <c r="DI14" s="2"/>
      <c r="DJ14" s="2"/>
      <c r="DK14" s="2"/>
      <c r="DL14" s="2"/>
      <c r="DM14" s="2"/>
      <c r="DN14" s="30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</row>
    <row r="15" spans="1:132" x14ac:dyDescent="0.3">
      <c r="A15" s="21" t="s">
        <v>5</v>
      </c>
      <c r="B15" s="13">
        <v>0.35</v>
      </c>
      <c r="C15" s="12"/>
      <c r="D15" s="14">
        <v>44837</v>
      </c>
      <c r="E15" s="22">
        <v>44882</v>
      </c>
      <c r="G15" s="35"/>
      <c r="H15" s="2"/>
      <c r="I15" s="2"/>
      <c r="J15" s="2"/>
      <c r="K15" s="2"/>
      <c r="L15" s="2"/>
      <c r="M15" s="30"/>
      <c r="N15" s="35"/>
      <c r="O15" s="2"/>
      <c r="P15" s="2"/>
      <c r="Q15" s="2"/>
      <c r="R15" s="2"/>
      <c r="S15" s="2"/>
      <c r="T15" s="30"/>
      <c r="U15" s="35"/>
      <c r="V15" s="2"/>
      <c r="W15" s="2"/>
      <c r="X15" s="2"/>
      <c r="Y15" s="2"/>
      <c r="Z15" s="2"/>
      <c r="AA15" s="30"/>
      <c r="AB15" s="35"/>
      <c r="AC15" s="2"/>
      <c r="AD15" s="2"/>
      <c r="AE15" s="2"/>
      <c r="AF15" s="2"/>
      <c r="AG15" s="2"/>
      <c r="AH15" s="30"/>
      <c r="AI15" s="35"/>
      <c r="AJ15" s="2"/>
      <c r="AK15" s="2"/>
      <c r="AL15" s="2"/>
      <c r="AM15" s="2"/>
      <c r="AN15" s="2"/>
      <c r="AO15" s="30"/>
      <c r="AP15" s="35"/>
      <c r="AQ15" s="2"/>
      <c r="AR15" s="2"/>
      <c r="AS15" s="2"/>
      <c r="AT15" s="2"/>
      <c r="AU15" s="2"/>
      <c r="AV15" s="30"/>
      <c r="AW15" s="35"/>
      <c r="AX15" s="2"/>
      <c r="AY15" s="2"/>
      <c r="AZ15" s="2"/>
      <c r="BA15" s="2"/>
      <c r="BB15" s="2"/>
      <c r="BC15" s="30"/>
      <c r="BD15" s="35"/>
      <c r="BE15" s="2"/>
      <c r="BF15" s="2"/>
      <c r="BG15" s="2"/>
      <c r="BH15" s="2"/>
      <c r="BI15" s="2"/>
      <c r="BJ15" s="30"/>
      <c r="BK15" s="35"/>
      <c r="BL15" s="2"/>
      <c r="BM15" s="2"/>
      <c r="BN15" s="2"/>
      <c r="BO15" s="2"/>
      <c r="BP15" s="2"/>
      <c r="BQ15" s="30"/>
      <c r="BR15" s="35"/>
      <c r="BS15" s="2"/>
      <c r="BT15" s="2"/>
      <c r="BU15" s="2"/>
      <c r="BV15" s="2"/>
      <c r="BW15" s="2"/>
      <c r="BX15" s="30"/>
      <c r="BY15" s="35"/>
      <c r="BZ15" s="2"/>
      <c r="CA15" s="2"/>
      <c r="CB15" s="2"/>
      <c r="CC15" s="2"/>
      <c r="CD15" s="2"/>
      <c r="CE15" s="30"/>
      <c r="CF15" s="35"/>
      <c r="CG15" s="2"/>
      <c r="CH15" s="2"/>
      <c r="CI15" s="2"/>
      <c r="CJ15" s="2"/>
      <c r="CK15" s="2"/>
      <c r="CL15" s="30"/>
      <c r="CM15" s="35"/>
      <c r="CN15" s="2"/>
      <c r="CO15" s="2"/>
      <c r="CP15" s="2"/>
      <c r="CQ15" s="2"/>
      <c r="CR15" s="2"/>
      <c r="CS15" s="30"/>
      <c r="CT15" s="35"/>
      <c r="CU15" s="2"/>
      <c r="CV15" s="2"/>
      <c r="CW15" s="2"/>
      <c r="CX15" s="2"/>
      <c r="CY15" s="2"/>
      <c r="CZ15" s="30"/>
      <c r="DA15" s="35"/>
      <c r="DB15" s="2"/>
      <c r="DC15" s="2"/>
      <c r="DD15" s="2"/>
      <c r="DE15" s="2"/>
      <c r="DF15" s="2"/>
      <c r="DG15" s="30"/>
      <c r="DH15" s="35"/>
      <c r="DI15" s="2"/>
      <c r="DJ15" s="2"/>
      <c r="DK15" s="2"/>
      <c r="DL15" s="2"/>
      <c r="DM15" s="2"/>
      <c r="DN15" s="30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</row>
    <row r="16" spans="1:132" x14ac:dyDescent="0.3">
      <c r="A16" s="21" t="s">
        <v>6</v>
      </c>
      <c r="B16" s="13">
        <v>0.9</v>
      </c>
      <c r="C16" s="12"/>
      <c r="D16" s="14">
        <v>44866</v>
      </c>
      <c r="E16" s="22">
        <v>44909</v>
      </c>
      <c r="G16" s="35"/>
      <c r="H16" s="2"/>
      <c r="I16" s="2"/>
      <c r="J16" s="2"/>
      <c r="K16" s="2"/>
      <c r="L16" s="2"/>
      <c r="M16" s="30"/>
      <c r="N16" s="35"/>
      <c r="O16" s="2"/>
      <c r="P16" s="2"/>
      <c r="Q16" s="2"/>
      <c r="R16" s="2"/>
      <c r="S16" s="2"/>
      <c r="T16" s="30"/>
      <c r="U16" s="35"/>
      <c r="V16" s="2"/>
      <c r="W16" s="2"/>
      <c r="X16" s="2"/>
      <c r="Y16" s="2"/>
      <c r="Z16" s="2"/>
      <c r="AA16" s="30"/>
      <c r="AB16" s="35"/>
      <c r="AC16" s="2"/>
      <c r="AD16" s="2"/>
      <c r="AE16" s="2"/>
      <c r="AF16" s="2"/>
      <c r="AG16" s="2"/>
      <c r="AH16" s="30"/>
      <c r="AI16" s="35"/>
      <c r="AJ16" s="2"/>
      <c r="AK16" s="2"/>
      <c r="AL16" s="2"/>
      <c r="AM16" s="2"/>
      <c r="AN16" s="2"/>
      <c r="AO16" s="30"/>
      <c r="AP16" s="35"/>
      <c r="AQ16" s="2"/>
      <c r="AR16" s="2"/>
      <c r="AS16" s="2"/>
      <c r="AT16" s="2"/>
      <c r="AU16" s="2"/>
      <c r="AV16" s="30"/>
      <c r="AW16" s="35"/>
      <c r="AX16" s="2"/>
      <c r="AY16" s="2"/>
      <c r="AZ16" s="2"/>
      <c r="BA16" s="2"/>
      <c r="BB16" s="2"/>
      <c r="BC16" s="30"/>
      <c r="BD16" s="35"/>
      <c r="BE16" s="2"/>
      <c r="BF16" s="2"/>
      <c r="BG16" s="2"/>
      <c r="BH16" s="2"/>
      <c r="BI16" s="2"/>
      <c r="BJ16" s="30"/>
      <c r="BK16" s="35"/>
      <c r="BL16" s="2"/>
      <c r="BM16" s="2"/>
      <c r="BN16" s="2"/>
      <c r="BO16" s="2"/>
      <c r="BP16" s="2"/>
      <c r="BQ16" s="30"/>
      <c r="BR16" s="35"/>
      <c r="BS16" s="2"/>
      <c r="BT16" s="2"/>
      <c r="BU16" s="2"/>
      <c r="BV16" s="2"/>
      <c r="BW16" s="2"/>
      <c r="BX16" s="30"/>
      <c r="BY16" s="35"/>
      <c r="BZ16" s="2"/>
      <c r="CA16" s="2"/>
      <c r="CB16" s="2"/>
      <c r="CC16" s="2"/>
      <c r="CD16" s="2"/>
      <c r="CE16" s="30"/>
      <c r="CF16" s="35"/>
      <c r="CG16" s="2"/>
      <c r="CH16" s="2"/>
      <c r="CI16" s="2"/>
      <c r="CJ16" s="2"/>
      <c r="CK16" s="2"/>
      <c r="CL16" s="30"/>
      <c r="CM16" s="35"/>
      <c r="CN16" s="2"/>
      <c r="CO16" s="2"/>
      <c r="CP16" s="2"/>
      <c r="CQ16" s="2"/>
      <c r="CR16" s="2"/>
      <c r="CS16" s="30"/>
      <c r="CT16" s="35"/>
      <c r="CU16" s="2"/>
      <c r="CV16" s="2"/>
      <c r="CW16" s="2"/>
      <c r="CX16" s="2"/>
      <c r="CY16" s="2"/>
      <c r="CZ16" s="30"/>
      <c r="DA16" s="35"/>
      <c r="DB16" s="2"/>
      <c r="DC16" s="2"/>
      <c r="DD16" s="2"/>
      <c r="DE16" s="2"/>
      <c r="DF16" s="2"/>
      <c r="DG16" s="30"/>
      <c r="DH16" s="35"/>
      <c r="DI16" s="2"/>
      <c r="DJ16" s="2"/>
      <c r="DK16" s="2"/>
      <c r="DL16" s="2"/>
      <c r="DM16" s="2"/>
      <c r="DN16" s="30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</row>
    <row r="17" spans="1:132" x14ac:dyDescent="0.3">
      <c r="A17" s="21" t="s">
        <v>7</v>
      </c>
      <c r="B17" s="13">
        <v>0</v>
      </c>
      <c r="C17" s="12"/>
      <c r="D17" s="14">
        <v>44909</v>
      </c>
      <c r="E17" s="22">
        <v>44939</v>
      </c>
      <c r="G17" s="35"/>
      <c r="H17" s="2"/>
      <c r="I17" s="2"/>
      <c r="J17" s="2"/>
      <c r="K17" s="2"/>
      <c r="L17" s="2"/>
      <c r="M17" s="30"/>
      <c r="N17" s="35"/>
      <c r="O17" s="2"/>
      <c r="P17" s="2"/>
      <c r="Q17" s="2"/>
      <c r="R17" s="2"/>
      <c r="S17" s="2"/>
      <c r="T17" s="30"/>
      <c r="U17" s="35"/>
      <c r="V17" s="2"/>
      <c r="W17" s="2"/>
      <c r="X17" s="2"/>
      <c r="Y17" s="2"/>
      <c r="Z17" s="2"/>
      <c r="AA17" s="30"/>
      <c r="AB17" s="35"/>
      <c r="AC17" s="2"/>
      <c r="AD17" s="2"/>
      <c r="AE17" s="2"/>
      <c r="AF17" s="2"/>
      <c r="AG17" s="2"/>
      <c r="AH17" s="30"/>
      <c r="AI17" s="35"/>
      <c r="AJ17" s="2"/>
      <c r="AK17" s="2"/>
      <c r="AL17" s="2"/>
      <c r="AM17" s="2"/>
      <c r="AN17" s="2"/>
      <c r="AO17" s="30"/>
      <c r="AP17" s="35"/>
      <c r="AQ17" s="2"/>
      <c r="AR17" s="2"/>
      <c r="AS17" s="2"/>
      <c r="AT17" s="2"/>
      <c r="AU17" s="2"/>
      <c r="AV17" s="30"/>
      <c r="AW17" s="35"/>
      <c r="AX17" s="2"/>
      <c r="AY17" s="2"/>
      <c r="AZ17" s="2"/>
      <c r="BA17" s="2"/>
      <c r="BB17" s="2"/>
      <c r="BC17" s="30"/>
      <c r="BD17" s="35"/>
      <c r="BE17" s="2"/>
      <c r="BF17" s="2"/>
      <c r="BG17" s="2"/>
      <c r="BH17" s="2"/>
      <c r="BI17" s="2"/>
      <c r="BJ17" s="30"/>
      <c r="BK17" s="35"/>
      <c r="BL17" s="2"/>
      <c r="BM17" s="2"/>
      <c r="BN17" s="2"/>
      <c r="BO17" s="2"/>
      <c r="BP17" s="2"/>
      <c r="BQ17" s="30"/>
      <c r="BR17" s="35"/>
      <c r="BS17" s="2"/>
      <c r="BT17" s="2"/>
      <c r="BU17" s="2"/>
      <c r="BV17" s="2"/>
      <c r="BW17" s="2"/>
      <c r="BX17" s="30"/>
      <c r="BY17" s="35"/>
      <c r="BZ17" s="2"/>
      <c r="CA17" s="2"/>
      <c r="CB17" s="2"/>
      <c r="CC17" s="2"/>
      <c r="CD17" s="2"/>
      <c r="CE17" s="30"/>
      <c r="CF17" s="35"/>
      <c r="CG17" s="2"/>
      <c r="CH17" s="2"/>
      <c r="CI17" s="2"/>
      <c r="CJ17" s="2"/>
      <c r="CK17" s="2"/>
      <c r="CL17" s="30"/>
      <c r="CM17" s="35"/>
      <c r="CN17" s="2"/>
      <c r="CO17" s="2"/>
      <c r="CP17" s="2"/>
      <c r="CQ17" s="2"/>
      <c r="CR17" s="2"/>
      <c r="CS17" s="30"/>
      <c r="CT17" s="35"/>
      <c r="CU17" s="2"/>
      <c r="CV17" s="2"/>
      <c r="CW17" s="2"/>
      <c r="CX17" s="2"/>
      <c r="CY17" s="2"/>
      <c r="CZ17" s="30"/>
      <c r="DA17" s="35"/>
      <c r="DB17" s="2"/>
      <c r="DC17" s="2"/>
      <c r="DD17" s="2"/>
      <c r="DE17" s="2"/>
      <c r="DF17" s="2"/>
      <c r="DG17" s="30"/>
      <c r="DH17" s="35"/>
      <c r="DI17" s="2"/>
      <c r="DJ17" s="2"/>
      <c r="DK17" s="2"/>
      <c r="DL17" s="2"/>
      <c r="DM17" s="2"/>
      <c r="DN17" s="30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</row>
    <row r="18" spans="1:132" x14ac:dyDescent="0.3">
      <c r="A18" s="21" t="s">
        <v>8</v>
      </c>
      <c r="B18" s="13">
        <v>0.2</v>
      </c>
      <c r="C18" s="12"/>
      <c r="D18" s="14">
        <v>44852</v>
      </c>
      <c r="E18" s="22">
        <v>44885</v>
      </c>
      <c r="G18" s="35"/>
      <c r="H18" s="2"/>
      <c r="I18" s="2"/>
      <c r="J18" s="2"/>
      <c r="K18" s="2"/>
      <c r="L18" s="2"/>
      <c r="M18" s="30"/>
      <c r="N18" s="35"/>
      <c r="O18" s="2"/>
      <c r="P18" s="2"/>
      <c r="Q18" s="2"/>
      <c r="R18" s="2"/>
      <c r="S18" s="2"/>
      <c r="T18" s="30"/>
      <c r="U18" s="35"/>
      <c r="V18" s="2"/>
      <c r="W18" s="2"/>
      <c r="X18" s="2"/>
      <c r="Y18" s="2"/>
      <c r="Z18" s="2"/>
      <c r="AA18" s="30"/>
      <c r="AB18" s="35"/>
      <c r="AC18" s="2"/>
      <c r="AD18" s="2"/>
      <c r="AE18" s="2"/>
      <c r="AF18" s="2"/>
      <c r="AG18" s="2"/>
      <c r="AH18" s="30"/>
      <c r="AI18" s="35"/>
      <c r="AJ18" s="2"/>
      <c r="AK18" s="2"/>
      <c r="AL18" s="2"/>
      <c r="AM18" s="2"/>
      <c r="AN18" s="2"/>
      <c r="AO18" s="30"/>
      <c r="AP18" s="35"/>
      <c r="AQ18" s="2"/>
      <c r="AR18" s="2"/>
      <c r="AS18" s="2"/>
      <c r="AT18" s="2"/>
      <c r="AU18" s="2"/>
      <c r="AV18" s="30"/>
      <c r="AW18" s="35"/>
      <c r="AX18" s="2"/>
      <c r="AY18" s="2"/>
      <c r="AZ18" s="2"/>
      <c r="BA18" s="2"/>
      <c r="BB18" s="2"/>
      <c r="BC18" s="30"/>
      <c r="BD18" s="35"/>
      <c r="BE18" s="2"/>
      <c r="BF18" s="2"/>
      <c r="BG18" s="2"/>
      <c r="BH18" s="2"/>
      <c r="BI18" s="2"/>
      <c r="BJ18" s="30"/>
      <c r="BK18" s="35"/>
      <c r="BL18" s="2"/>
      <c r="BM18" s="2"/>
      <c r="BN18" s="2"/>
      <c r="BO18" s="2"/>
      <c r="BP18" s="2"/>
      <c r="BQ18" s="30"/>
      <c r="BR18" s="35"/>
      <c r="BS18" s="2"/>
      <c r="BT18" s="2"/>
      <c r="BU18" s="2"/>
      <c r="BV18" s="2"/>
      <c r="BW18" s="2"/>
      <c r="BX18" s="30"/>
      <c r="BY18" s="35"/>
      <c r="BZ18" s="2"/>
      <c r="CA18" s="2"/>
      <c r="CB18" s="2"/>
      <c r="CC18" s="2"/>
      <c r="CD18" s="2"/>
      <c r="CE18" s="30"/>
      <c r="CF18" s="35"/>
      <c r="CG18" s="2"/>
      <c r="CH18" s="2"/>
      <c r="CI18" s="2"/>
      <c r="CJ18" s="2"/>
      <c r="CK18" s="2"/>
      <c r="CL18" s="30"/>
      <c r="CM18" s="35"/>
      <c r="CN18" s="2"/>
      <c r="CO18" s="2"/>
      <c r="CP18" s="2"/>
      <c r="CQ18" s="2"/>
      <c r="CR18" s="2"/>
      <c r="CS18" s="30"/>
      <c r="CT18" s="35"/>
      <c r="CU18" s="2"/>
      <c r="CV18" s="2"/>
      <c r="CW18" s="2"/>
      <c r="CX18" s="2"/>
      <c r="CY18" s="2"/>
      <c r="CZ18" s="30"/>
      <c r="DA18" s="35"/>
      <c r="DB18" s="2"/>
      <c r="DC18" s="2"/>
      <c r="DD18" s="2"/>
      <c r="DE18" s="2"/>
      <c r="DF18" s="2"/>
      <c r="DG18" s="30"/>
      <c r="DH18" s="35"/>
      <c r="DI18" s="2"/>
      <c r="DJ18" s="2"/>
      <c r="DK18" s="2"/>
      <c r="DL18" s="2"/>
      <c r="DM18" s="2"/>
      <c r="DN18" s="30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</row>
    <row r="19" spans="1:132" x14ac:dyDescent="0.3">
      <c r="A19" s="21" t="s">
        <v>9</v>
      </c>
      <c r="B19" s="13">
        <v>0</v>
      </c>
      <c r="C19" s="12"/>
      <c r="D19" s="14">
        <v>44868</v>
      </c>
      <c r="E19" s="22">
        <v>44927</v>
      </c>
      <c r="G19" s="35"/>
      <c r="H19" s="2"/>
      <c r="I19" s="2"/>
      <c r="J19" s="2"/>
      <c r="K19" s="2"/>
      <c r="L19" s="2"/>
      <c r="M19" s="30"/>
      <c r="N19" s="35"/>
      <c r="O19" s="2"/>
      <c r="P19" s="2"/>
      <c r="Q19" s="2"/>
      <c r="R19" s="2"/>
      <c r="S19" s="2"/>
      <c r="T19" s="30"/>
      <c r="U19" s="35"/>
      <c r="V19" s="2"/>
      <c r="W19" s="2"/>
      <c r="X19" s="2"/>
      <c r="Y19" s="2"/>
      <c r="Z19" s="2"/>
      <c r="AA19" s="30"/>
      <c r="AB19" s="35"/>
      <c r="AC19" s="2"/>
      <c r="AD19" s="2"/>
      <c r="AE19" s="2"/>
      <c r="AF19" s="2"/>
      <c r="AG19" s="2"/>
      <c r="AH19" s="30"/>
      <c r="AI19" s="35"/>
      <c r="AJ19" s="2"/>
      <c r="AK19" s="2"/>
      <c r="AL19" s="2"/>
      <c r="AM19" s="2"/>
      <c r="AN19" s="2"/>
      <c r="AO19" s="30"/>
      <c r="AP19" s="35"/>
      <c r="AQ19" s="2"/>
      <c r="AR19" s="2"/>
      <c r="AS19" s="2"/>
      <c r="AT19" s="2"/>
      <c r="AU19" s="2"/>
      <c r="AV19" s="30"/>
      <c r="AW19" s="35"/>
      <c r="AX19" s="2"/>
      <c r="AY19" s="2"/>
      <c r="AZ19" s="2"/>
      <c r="BA19" s="2"/>
      <c r="BB19" s="2"/>
      <c r="BC19" s="30"/>
      <c r="BD19" s="35"/>
      <c r="BE19" s="2"/>
      <c r="BF19" s="2"/>
      <c r="BG19" s="2"/>
      <c r="BH19" s="2"/>
      <c r="BI19" s="2"/>
      <c r="BJ19" s="30"/>
      <c r="BK19" s="35"/>
      <c r="BL19" s="2"/>
      <c r="BM19" s="2"/>
      <c r="BN19" s="2"/>
      <c r="BO19" s="2"/>
      <c r="BP19" s="2"/>
      <c r="BQ19" s="30"/>
      <c r="BR19" s="35"/>
      <c r="BS19" s="2"/>
      <c r="BT19" s="2"/>
      <c r="BU19" s="2"/>
      <c r="BV19" s="2"/>
      <c r="BW19" s="2"/>
      <c r="BX19" s="30"/>
      <c r="BY19" s="35"/>
      <c r="BZ19" s="2"/>
      <c r="CA19" s="2"/>
      <c r="CB19" s="2"/>
      <c r="CC19" s="2"/>
      <c r="CD19" s="2"/>
      <c r="CE19" s="30"/>
      <c r="CF19" s="35"/>
      <c r="CG19" s="2"/>
      <c r="CH19" s="2"/>
      <c r="CI19" s="2"/>
      <c r="CJ19" s="2"/>
      <c r="CK19" s="2"/>
      <c r="CL19" s="30"/>
      <c r="CM19" s="35"/>
      <c r="CN19" s="2"/>
      <c r="CO19" s="2"/>
      <c r="CP19" s="2"/>
      <c r="CQ19" s="2"/>
      <c r="CR19" s="2"/>
      <c r="CS19" s="30"/>
      <c r="CT19" s="35"/>
      <c r="CU19" s="2"/>
      <c r="CV19" s="2"/>
      <c r="CW19" s="2"/>
      <c r="CX19" s="2"/>
      <c r="CY19" s="2"/>
      <c r="CZ19" s="30"/>
      <c r="DA19" s="35"/>
      <c r="DB19" s="2"/>
      <c r="DC19" s="2"/>
      <c r="DD19" s="2"/>
      <c r="DE19" s="2"/>
      <c r="DF19" s="2"/>
      <c r="DG19" s="30"/>
      <c r="DH19" s="35"/>
      <c r="DI19" s="2"/>
      <c r="DJ19" s="2"/>
      <c r="DK19" s="2"/>
      <c r="DL19" s="2"/>
      <c r="DM19" s="2"/>
      <c r="DN19" s="30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</row>
    <row r="20" spans="1:132" x14ac:dyDescent="0.3">
      <c r="A20" s="21" t="s">
        <v>10</v>
      </c>
      <c r="B20" s="13">
        <v>0</v>
      </c>
      <c r="C20" s="12"/>
      <c r="D20" s="14">
        <v>44927</v>
      </c>
      <c r="E20" s="22">
        <v>44939</v>
      </c>
      <c r="G20" s="35"/>
      <c r="H20" s="2"/>
      <c r="I20" s="2"/>
      <c r="J20" s="2"/>
      <c r="K20" s="2"/>
      <c r="L20" s="2"/>
      <c r="M20" s="30"/>
      <c r="N20" s="35"/>
      <c r="O20" s="2"/>
      <c r="P20" s="2"/>
      <c r="Q20" s="2"/>
      <c r="R20" s="2"/>
      <c r="S20" s="2"/>
      <c r="T20" s="30"/>
      <c r="U20" s="35"/>
      <c r="V20" s="2"/>
      <c r="W20" s="2"/>
      <c r="X20" s="2"/>
      <c r="Y20" s="2"/>
      <c r="Z20" s="2"/>
      <c r="AA20" s="30"/>
      <c r="AB20" s="35"/>
      <c r="AC20" s="2"/>
      <c r="AD20" s="2"/>
      <c r="AE20" s="2"/>
      <c r="AF20" s="2"/>
      <c r="AG20" s="2"/>
      <c r="AH20" s="30"/>
      <c r="AI20" s="35"/>
      <c r="AJ20" s="2"/>
      <c r="AK20" s="2"/>
      <c r="AL20" s="2"/>
      <c r="AM20" s="2"/>
      <c r="AN20" s="2"/>
      <c r="AO20" s="30"/>
      <c r="AP20" s="35"/>
      <c r="AQ20" s="2"/>
      <c r="AR20" s="2"/>
      <c r="AS20" s="2"/>
      <c r="AT20" s="2"/>
      <c r="AU20" s="2"/>
      <c r="AV20" s="30"/>
      <c r="AW20" s="35"/>
      <c r="AX20" s="2"/>
      <c r="AY20" s="2"/>
      <c r="AZ20" s="2"/>
      <c r="BA20" s="2"/>
      <c r="BB20" s="2"/>
      <c r="BC20" s="30"/>
      <c r="BD20" s="35"/>
      <c r="BE20" s="2"/>
      <c r="BF20" s="2"/>
      <c r="BG20" s="2"/>
      <c r="BH20" s="2"/>
      <c r="BI20" s="2"/>
      <c r="BJ20" s="30"/>
      <c r="BK20" s="35"/>
      <c r="BL20" s="2"/>
      <c r="BM20" s="2"/>
      <c r="BN20" s="2"/>
      <c r="BO20" s="2"/>
      <c r="BP20" s="2"/>
      <c r="BQ20" s="30"/>
      <c r="BR20" s="35"/>
      <c r="BS20" s="2"/>
      <c r="BT20" s="2"/>
      <c r="BU20" s="2"/>
      <c r="BV20" s="2"/>
      <c r="BW20" s="2"/>
      <c r="BX20" s="30"/>
      <c r="BY20" s="35"/>
      <c r="BZ20" s="2"/>
      <c r="CA20" s="2"/>
      <c r="CB20" s="2"/>
      <c r="CC20" s="2"/>
      <c r="CD20" s="2"/>
      <c r="CE20" s="30"/>
      <c r="CF20" s="35"/>
      <c r="CG20" s="2"/>
      <c r="CH20" s="2"/>
      <c r="CI20" s="2"/>
      <c r="CJ20" s="2"/>
      <c r="CK20" s="2"/>
      <c r="CL20" s="30"/>
      <c r="CM20" s="35"/>
      <c r="CN20" s="2"/>
      <c r="CO20" s="2"/>
      <c r="CP20" s="2"/>
      <c r="CQ20" s="2"/>
      <c r="CR20" s="2"/>
      <c r="CS20" s="30"/>
      <c r="CT20" s="35"/>
      <c r="CU20" s="2"/>
      <c r="CV20" s="2"/>
      <c r="CW20" s="2"/>
      <c r="CX20" s="2"/>
      <c r="CY20" s="2"/>
      <c r="CZ20" s="30"/>
      <c r="DA20" s="35"/>
      <c r="DB20" s="2"/>
      <c r="DC20" s="2"/>
      <c r="DD20" s="2"/>
      <c r="DE20" s="2"/>
      <c r="DF20" s="2"/>
      <c r="DG20" s="30"/>
      <c r="DH20" s="35"/>
      <c r="DI20" s="2"/>
      <c r="DJ20" s="2"/>
      <c r="DK20" s="2"/>
      <c r="DL20" s="2"/>
      <c r="DM20" s="2"/>
      <c r="DN20" s="30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</row>
    <row r="21" spans="1:132" x14ac:dyDescent="0.3">
      <c r="A21" s="21" t="s">
        <v>13</v>
      </c>
      <c r="B21" s="13">
        <v>1</v>
      </c>
      <c r="C21" s="12"/>
      <c r="D21" s="14">
        <v>44830</v>
      </c>
      <c r="E21" s="22">
        <v>44839</v>
      </c>
      <c r="G21" s="35"/>
      <c r="H21" s="2"/>
      <c r="I21" s="2"/>
      <c r="J21" s="2"/>
      <c r="K21" s="2"/>
      <c r="L21" s="2"/>
      <c r="M21" s="30"/>
      <c r="N21" s="35"/>
      <c r="O21" s="2"/>
      <c r="P21" s="2"/>
      <c r="Q21" s="2"/>
      <c r="R21" s="2"/>
      <c r="S21" s="2"/>
      <c r="T21" s="30"/>
      <c r="U21" s="35"/>
      <c r="V21" s="2"/>
      <c r="W21" s="2"/>
      <c r="X21" s="2"/>
      <c r="Y21" s="2"/>
      <c r="Z21" s="2"/>
      <c r="AA21" s="30"/>
      <c r="AB21" s="35"/>
      <c r="AC21" s="2"/>
      <c r="AD21" s="2"/>
      <c r="AE21" s="2"/>
      <c r="AF21" s="2"/>
      <c r="AG21" s="2"/>
      <c r="AH21" s="30"/>
      <c r="AI21" s="35"/>
      <c r="AJ21" s="2"/>
      <c r="AK21" s="2"/>
      <c r="AL21" s="2"/>
      <c r="AM21" s="2"/>
      <c r="AN21" s="2"/>
      <c r="AO21" s="30"/>
      <c r="AP21" s="35"/>
      <c r="AQ21" s="2"/>
      <c r="AR21" s="2"/>
      <c r="AS21" s="2"/>
      <c r="AT21" s="2"/>
      <c r="AU21" s="2"/>
      <c r="AV21" s="30"/>
      <c r="AW21" s="35"/>
      <c r="AX21" s="2"/>
      <c r="AY21" s="2"/>
      <c r="AZ21" s="2"/>
      <c r="BA21" s="2"/>
      <c r="BB21" s="2"/>
      <c r="BC21" s="30"/>
      <c r="BD21" s="35"/>
      <c r="BE21" s="2"/>
      <c r="BF21" s="2"/>
      <c r="BG21" s="2"/>
      <c r="BH21" s="2"/>
      <c r="BI21" s="2"/>
      <c r="BJ21" s="30"/>
      <c r="BK21" s="35"/>
      <c r="BL21" s="2"/>
      <c r="BM21" s="2"/>
      <c r="BN21" s="2"/>
      <c r="BO21" s="2"/>
      <c r="BP21" s="2"/>
      <c r="BQ21" s="30"/>
      <c r="BR21" s="35"/>
      <c r="BS21" s="2"/>
      <c r="BT21" s="2"/>
      <c r="BU21" s="2"/>
      <c r="BV21" s="2"/>
      <c r="BW21" s="2"/>
      <c r="BX21" s="30"/>
      <c r="BY21" s="35"/>
      <c r="BZ21" s="2"/>
      <c r="CA21" s="2"/>
      <c r="CB21" s="2"/>
      <c r="CC21" s="2"/>
      <c r="CD21" s="2"/>
      <c r="CE21" s="30"/>
      <c r="CF21" s="35"/>
      <c r="CG21" s="2"/>
      <c r="CH21" s="2"/>
      <c r="CI21" s="2"/>
      <c r="CJ21" s="2"/>
      <c r="CK21" s="2"/>
      <c r="CL21" s="30"/>
      <c r="CM21" s="35"/>
      <c r="CN21" s="2"/>
      <c r="CO21" s="2"/>
      <c r="CP21" s="2"/>
      <c r="CQ21" s="2"/>
      <c r="CR21" s="2"/>
      <c r="CS21" s="30"/>
      <c r="CT21" s="35"/>
      <c r="CU21" s="2"/>
      <c r="CV21" s="2"/>
      <c r="CW21" s="2"/>
      <c r="CX21" s="2"/>
      <c r="CY21" s="2"/>
      <c r="CZ21" s="30"/>
      <c r="DA21" s="35"/>
      <c r="DB21" s="2"/>
      <c r="DC21" s="2"/>
      <c r="DD21" s="2"/>
      <c r="DE21" s="2"/>
      <c r="DF21" s="2"/>
      <c r="DG21" s="30"/>
      <c r="DH21" s="35"/>
      <c r="DI21" s="2"/>
      <c r="DJ21" s="2"/>
      <c r="DK21" s="2"/>
      <c r="DL21" s="2"/>
      <c r="DM21" s="2"/>
      <c r="DN21" s="30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</row>
    <row r="22" spans="1:132" x14ac:dyDescent="0.3">
      <c r="A22" s="21" t="s">
        <v>12</v>
      </c>
      <c r="B22" s="13">
        <v>1</v>
      </c>
      <c r="C22" s="12"/>
      <c r="D22" s="14">
        <v>44839</v>
      </c>
      <c r="E22" s="22">
        <v>44853</v>
      </c>
      <c r="G22" s="35"/>
      <c r="H22" s="2"/>
      <c r="I22" s="2"/>
      <c r="J22" s="2"/>
      <c r="K22" s="2"/>
      <c r="L22" s="2"/>
      <c r="M22" s="30"/>
      <c r="N22" s="35"/>
      <c r="O22" s="2"/>
      <c r="P22" s="2"/>
      <c r="Q22" s="2"/>
      <c r="R22" s="2"/>
      <c r="S22" s="2"/>
      <c r="T22" s="30"/>
      <c r="U22" s="35"/>
      <c r="V22" s="2"/>
      <c r="W22" s="2"/>
      <c r="X22" s="2"/>
      <c r="Y22" s="2"/>
      <c r="Z22" s="2"/>
      <c r="AA22" s="30"/>
      <c r="AB22" s="35"/>
      <c r="AC22" s="2"/>
      <c r="AD22" s="2"/>
      <c r="AE22" s="2"/>
      <c r="AF22" s="2"/>
      <c r="AG22" s="2"/>
      <c r="AH22" s="30"/>
      <c r="AI22" s="35"/>
      <c r="AJ22" s="2"/>
      <c r="AK22" s="2"/>
      <c r="AL22" s="2"/>
      <c r="AM22" s="2"/>
      <c r="AN22" s="2"/>
      <c r="AO22" s="30"/>
      <c r="AP22" s="35"/>
      <c r="AQ22" s="2"/>
      <c r="AR22" s="2"/>
      <c r="AS22" s="2"/>
      <c r="AT22" s="2"/>
      <c r="AU22" s="2"/>
      <c r="AV22" s="30"/>
      <c r="AW22" s="35"/>
      <c r="AX22" s="2"/>
      <c r="AY22" s="2"/>
      <c r="AZ22" s="2"/>
      <c r="BA22" s="2"/>
      <c r="BB22" s="2"/>
      <c r="BC22" s="30"/>
      <c r="BD22" s="35"/>
      <c r="BE22" s="2"/>
      <c r="BF22" s="2"/>
      <c r="BG22" s="2"/>
      <c r="BH22" s="2"/>
      <c r="BI22" s="2"/>
      <c r="BJ22" s="30"/>
      <c r="BK22" s="35"/>
      <c r="BL22" s="2"/>
      <c r="BM22" s="2"/>
      <c r="BN22" s="2"/>
      <c r="BO22" s="2"/>
      <c r="BP22" s="2"/>
      <c r="BQ22" s="30"/>
      <c r="BR22" s="35"/>
      <c r="BS22" s="2"/>
      <c r="BT22" s="2"/>
      <c r="BU22" s="2"/>
      <c r="BV22" s="2"/>
      <c r="BW22" s="2"/>
      <c r="BX22" s="30"/>
      <c r="BY22" s="35"/>
      <c r="BZ22" s="2"/>
      <c r="CA22" s="2"/>
      <c r="CB22" s="2"/>
      <c r="CC22" s="2"/>
      <c r="CD22" s="2"/>
      <c r="CE22" s="30"/>
      <c r="CF22" s="35"/>
      <c r="CG22" s="2"/>
      <c r="CH22" s="2"/>
      <c r="CI22" s="2"/>
      <c r="CJ22" s="2"/>
      <c r="CK22" s="2"/>
      <c r="CL22" s="30"/>
      <c r="CM22" s="35"/>
      <c r="CN22" s="2"/>
      <c r="CO22" s="2"/>
      <c r="CP22" s="2"/>
      <c r="CQ22" s="2"/>
      <c r="CR22" s="2"/>
      <c r="CS22" s="30"/>
      <c r="CT22" s="35"/>
      <c r="CU22" s="2"/>
      <c r="CV22" s="2"/>
      <c r="CW22" s="2"/>
      <c r="CX22" s="2"/>
      <c r="CY22" s="2"/>
      <c r="CZ22" s="30"/>
      <c r="DA22" s="35"/>
      <c r="DB22" s="2"/>
      <c r="DC22" s="2"/>
      <c r="DD22" s="2"/>
      <c r="DE22" s="2"/>
      <c r="DF22" s="2"/>
      <c r="DG22" s="30"/>
      <c r="DH22" s="35"/>
      <c r="DI22" s="2"/>
      <c r="DJ22" s="2"/>
      <c r="DK22" s="2"/>
      <c r="DL22" s="2"/>
      <c r="DM22" s="2"/>
      <c r="DN22" s="30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</row>
    <row r="23" spans="1:132" x14ac:dyDescent="0.3">
      <c r="A23" s="21" t="s">
        <v>11</v>
      </c>
      <c r="B23" s="13">
        <v>1</v>
      </c>
      <c r="C23" s="12"/>
      <c r="D23" s="14">
        <v>44844</v>
      </c>
      <c r="E23" s="22">
        <v>44858</v>
      </c>
      <c r="G23" s="35"/>
      <c r="H23" s="2"/>
      <c r="I23" s="2"/>
      <c r="J23" s="2"/>
      <c r="K23" s="2"/>
      <c r="L23" s="2"/>
      <c r="M23" s="30"/>
      <c r="N23" s="35"/>
      <c r="O23" s="2"/>
      <c r="P23" s="2"/>
      <c r="Q23" s="2"/>
      <c r="R23" s="2"/>
      <c r="S23" s="2"/>
      <c r="T23" s="30"/>
      <c r="U23" s="35"/>
      <c r="V23" s="2"/>
      <c r="W23" s="2"/>
      <c r="X23" s="2"/>
      <c r="Y23" s="2"/>
      <c r="Z23" s="2"/>
      <c r="AA23" s="30"/>
      <c r="AB23" s="35"/>
      <c r="AC23" s="2"/>
      <c r="AD23" s="2"/>
      <c r="AE23" s="2"/>
      <c r="AF23" s="2"/>
      <c r="AG23" s="2"/>
      <c r="AH23" s="30"/>
      <c r="AI23" s="35"/>
      <c r="AJ23" s="2"/>
      <c r="AK23" s="2"/>
      <c r="AL23" s="2"/>
      <c r="AM23" s="2"/>
      <c r="AN23" s="2"/>
      <c r="AO23" s="30"/>
      <c r="AP23" s="35"/>
      <c r="AQ23" s="2"/>
      <c r="AR23" s="2"/>
      <c r="AS23" s="2"/>
      <c r="AT23" s="2"/>
      <c r="AU23" s="2"/>
      <c r="AV23" s="30"/>
      <c r="AW23" s="35"/>
      <c r="AX23" s="2"/>
      <c r="AY23" s="2"/>
      <c r="AZ23" s="2"/>
      <c r="BA23" s="2"/>
      <c r="BB23" s="2"/>
      <c r="BC23" s="30"/>
      <c r="BD23" s="35"/>
      <c r="BE23" s="2"/>
      <c r="BF23" s="2"/>
      <c r="BG23" s="2"/>
      <c r="BH23" s="2"/>
      <c r="BI23" s="2"/>
      <c r="BJ23" s="30"/>
      <c r="BK23" s="35"/>
      <c r="BL23" s="2"/>
      <c r="BM23" s="2"/>
      <c r="BN23" s="2"/>
      <c r="BO23" s="2"/>
      <c r="BP23" s="2"/>
      <c r="BQ23" s="30"/>
      <c r="BR23" s="35"/>
      <c r="BS23" s="2"/>
      <c r="BT23" s="2"/>
      <c r="BU23" s="2"/>
      <c r="BV23" s="2"/>
      <c r="BW23" s="2"/>
      <c r="BX23" s="30"/>
      <c r="BY23" s="35"/>
      <c r="BZ23" s="2"/>
      <c r="CA23" s="2"/>
      <c r="CB23" s="2"/>
      <c r="CC23" s="2"/>
      <c r="CD23" s="2"/>
      <c r="CE23" s="30"/>
      <c r="CF23" s="35"/>
      <c r="CG23" s="2"/>
      <c r="CH23" s="2"/>
      <c r="CI23" s="2"/>
      <c r="CJ23" s="2"/>
      <c r="CK23" s="2"/>
      <c r="CL23" s="30"/>
      <c r="CM23" s="35"/>
      <c r="CN23" s="2"/>
      <c r="CO23" s="2"/>
      <c r="CP23" s="2"/>
      <c r="CQ23" s="2"/>
      <c r="CR23" s="2"/>
      <c r="CS23" s="30"/>
      <c r="CT23" s="35"/>
      <c r="CU23" s="2"/>
      <c r="CV23" s="2"/>
      <c r="CW23" s="2"/>
      <c r="CX23" s="2"/>
      <c r="CY23" s="2"/>
      <c r="CZ23" s="30"/>
      <c r="DA23" s="35"/>
      <c r="DB23" s="2"/>
      <c r="DC23" s="2"/>
      <c r="DD23" s="2"/>
      <c r="DE23" s="2"/>
      <c r="DF23" s="2"/>
      <c r="DG23" s="30"/>
      <c r="DH23" s="35"/>
      <c r="DI23" s="2"/>
      <c r="DJ23" s="2"/>
      <c r="DK23" s="2"/>
      <c r="DL23" s="2"/>
      <c r="DM23" s="2"/>
      <c r="DN23" s="30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</row>
    <row r="24" spans="1:132" x14ac:dyDescent="0.3">
      <c r="A24" s="21" t="s">
        <v>14</v>
      </c>
      <c r="B24" s="13">
        <v>0</v>
      </c>
      <c r="C24" s="12"/>
      <c r="D24" s="14">
        <v>44858</v>
      </c>
      <c r="E24" s="22">
        <v>44879</v>
      </c>
      <c r="G24" s="35"/>
      <c r="H24" s="2"/>
      <c r="I24" s="2"/>
      <c r="J24" s="2"/>
      <c r="K24" s="2"/>
      <c r="L24" s="2"/>
      <c r="M24" s="30"/>
      <c r="N24" s="35"/>
      <c r="O24" s="2"/>
      <c r="P24" s="2"/>
      <c r="Q24" s="2"/>
      <c r="R24" s="2"/>
      <c r="S24" s="2"/>
      <c r="T24" s="30"/>
      <c r="U24" s="35"/>
      <c r="V24" s="2"/>
      <c r="W24" s="2"/>
      <c r="X24" s="2"/>
      <c r="Y24" s="2"/>
      <c r="Z24" s="2"/>
      <c r="AA24" s="30"/>
      <c r="AB24" s="35"/>
      <c r="AC24" s="2"/>
      <c r="AD24" s="2"/>
      <c r="AE24" s="2"/>
      <c r="AF24" s="2"/>
      <c r="AG24" s="2"/>
      <c r="AH24" s="30"/>
      <c r="AI24" s="35"/>
      <c r="AJ24" s="2"/>
      <c r="AK24" s="2"/>
      <c r="AL24" s="2"/>
      <c r="AM24" s="2"/>
      <c r="AN24" s="2"/>
      <c r="AO24" s="30"/>
      <c r="AP24" s="35"/>
      <c r="AQ24" s="2"/>
      <c r="AR24" s="2"/>
      <c r="AS24" s="2"/>
      <c r="AT24" s="2"/>
      <c r="AU24" s="2"/>
      <c r="AV24" s="30"/>
      <c r="AW24" s="35"/>
      <c r="AX24" s="2"/>
      <c r="AY24" s="2"/>
      <c r="AZ24" s="2"/>
      <c r="BA24" s="2"/>
      <c r="BB24" s="2"/>
      <c r="BC24" s="30"/>
      <c r="BD24" s="35"/>
      <c r="BE24" s="2"/>
      <c r="BF24" s="2"/>
      <c r="BG24" s="2"/>
      <c r="BH24" s="2"/>
      <c r="BI24" s="2"/>
      <c r="BJ24" s="30"/>
      <c r="BK24" s="35"/>
      <c r="BL24" s="2"/>
      <c r="BM24" s="2"/>
      <c r="BN24" s="2"/>
      <c r="BO24" s="2"/>
      <c r="BP24" s="2"/>
      <c r="BQ24" s="30"/>
      <c r="BR24" s="35"/>
      <c r="BS24" s="2"/>
      <c r="BT24" s="2"/>
      <c r="BU24" s="2"/>
      <c r="BV24" s="2"/>
      <c r="BW24" s="2"/>
      <c r="BX24" s="30"/>
      <c r="BY24" s="35"/>
      <c r="BZ24" s="2"/>
      <c r="CA24" s="2"/>
      <c r="CB24" s="2"/>
      <c r="CC24" s="2"/>
      <c r="CD24" s="2"/>
      <c r="CE24" s="30"/>
      <c r="CF24" s="35"/>
      <c r="CG24" s="2"/>
      <c r="CH24" s="2"/>
      <c r="CI24" s="2"/>
      <c r="CJ24" s="2"/>
      <c r="CK24" s="2"/>
      <c r="CL24" s="30"/>
      <c r="CM24" s="35"/>
      <c r="CN24" s="2"/>
      <c r="CO24" s="2"/>
      <c r="CP24" s="2"/>
      <c r="CQ24" s="2"/>
      <c r="CR24" s="2"/>
      <c r="CS24" s="30"/>
      <c r="CT24" s="35"/>
      <c r="CU24" s="2"/>
      <c r="CV24" s="2"/>
      <c r="CW24" s="2"/>
      <c r="CX24" s="2"/>
      <c r="CY24" s="2"/>
      <c r="CZ24" s="30"/>
      <c r="DA24" s="35"/>
      <c r="DB24" s="2"/>
      <c r="DC24" s="2"/>
      <c r="DD24" s="2"/>
      <c r="DE24" s="2"/>
      <c r="DF24" s="2"/>
      <c r="DG24" s="30"/>
      <c r="DH24" s="35"/>
      <c r="DI24" s="2"/>
      <c r="DJ24" s="2"/>
      <c r="DK24" s="2"/>
      <c r="DL24" s="2"/>
      <c r="DM24" s="2"/>
      <c r="DN24" s="30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</row>
    <row r="25" spans="1:132" ht="15" thickBot="1" x14ac:dyDescent="0.35">
      <c r="A25" s="23" t="s">
        <v>16</v>
      </c>
      <c r="B25" s="37">
        <v>0.05</v>
      </c>
      <c r="C25" s="24"/>
      <c r="D25" s="25">
        <v>44859</v>
      </c>
      <c r="E25" s="26">
        <v>44922</v>
      </c>
      <c r="G25" s="36"/>
      <c r="H25" s="31"/>
      <c r="I25" s="31"/>
      <c r="J25" s="31"/>
      <c r="K25" s="31"/>
      <c r="L25" s="31"/>
      <c r="M25" s="32"/>
      <c r="N25" s="36"/>
      <c r="O25" s="31"/>
      <c r="P25" s="31"/>
      <c r="Q25" s="31"/>
      <c r="R25" s="31"/>
      <c r="S25" s="31"/>
      <c r="T25" s="32"/>
      <c r="U25" s="36"/>
      <c r="V25" s="31"/>
      <c r="W25" s="31"/>
      <c r="X25" s="31"/>
      <c r="Y25" s="31"/>
      <c r="Z25" s="31"/>
      <c r="AA25" s="32"/>
      <c r="AB25" s="36"/>
      <c r="AC25" s="31"/>
      <c r="AD25" s="31"/>
      <c r="AE25" s="31"/>
      <c r="AF25" s="31"/>
      <c r="AG25" s="31"/>
      <c r="AH25" s="32"/>
      <c r="AI25" s="36"/>
      <c r="AJ25" s="31"/>
      <c r="AK25" s="31"/>
      <c r="AL25" s="31"/>
      <c r="AM25" s="31"/>
      <c r="AN25" s="31"/>
      <c r="AO25" s="32"/>
      <c r="AP25" s="36"/>
      <c r="AQ25" s="31"/>
      <c r="AR25" s="31"/>
      <c r="AS25" s="31"/>
      <c r="AT25" s="31"/>
      <c r="AU25" s="31"/>
      <c r="AV25" s="32"/>
      <c r="AW25" s="36"/>
      <c r="AX25" s="31"/>
      <c r="AY25" s="31"/>
      <c r="AZ25" s="31"/>
      <c r="BA25" s="31"/>
      <c r="BB25" s="31"/>
      <c r="BC25" s="32"/>
      <c r="BD25" s="36"/>
      <c r="BE25" s="31"/>
      <c r="BF25" s="31"/>
      <c r="BG25" s="31"/>
      <c r="BH25" s="31"/>
      <c r="BI25" s="31"/>
      <c r="BJ25" s="32"/>
      <c r="BK25" s="36"/>
      <c r="BL25" s="31"/>
      <c r="BM25" s="31"/>
      <c r="BN25" s="31"/>
      <c r="BO25" s="31"/>
      <c r="BP25" s="31"/>
      <c r="BQ25" s="32"/>
      <c r="BR25" s="36"/>
      <c r="BS25" s="31"/>
      <c r="BT25" s="31"/>
      <c r="BU25" s="31"/>
      <c r="BV25" s="31"/>
      <c r="BW25" s="31"/>
      <c r="BX25" s="32"/>
      <c r="BY25" s="36"/>
      <c r="BZ25" s="31"/>
      <c r="CA25" s="31"/>
      <c r="CB25" s="31"/>
      <c r="CC25" s="31"/>
      <c r="CD25" s="31"/>
      <c r="CE25" s="32"/>
      <c r="CF25" s="36"/>
      <c r="CG25" s="31"/>
      <c r="CH25" s="31"/>
      <c r="CI25" s="31"/>
      <c r="CJ25" s="31"/>
      <c r="CK25" s="31"/>
      <c r="CL25" s="32"/>
      <c r="CM25" s="36"/>
      <c r="CN25" s="31"/>
      <c r="CO25" s="31"/>
      <c r="CP25" s="31"/>
      <c r="CQ25" s="31"/>
      <c r="CR25" s="31"/>
      <c r="CS25" s="32"/>
      <c r="CT25" s="36"/>
      <c r="CU25" s="31"/>
      <c r="CV25" s="31"/>
      <c r="CW25" s="31"/>
      <c r="CX25" s="31"/>
      <c r="CY25" s="31"/>
      <c r="CZ25" s="32"/>
      <c r="DA25" s="36"/>
      <c r="DB25" s="31"/>
      <c r="DC25" s="31"/>
      <c r="DD25" s="31"/>
      <c r="DE25" s="31"/>
      <c r="DF25" s="31"/>
      <c r="DG25" s="32"/>
      <c r="DH25" s="36"/>
      <c r="DI25" s="31"/>
      <c r="DJ25" s="31"/>
      <c r="DK25" s="31"/>
      <c r="DL25" s="31"/>
      <c r="DM25" s="31"/>
      <c r="DN25" s="32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</row>
    <row r="27" spans="1:132" x14ac:dyDescent="0.3">
      <c r="L27" s="1" t="s">
        <v>18</v>
      </c>
    </row>
  </sheetData>
  <mergeCells count="19">
    <mergeCell ref="DH8:DN8"/>
    <mergeCell ref="DO8:DU8"/>
    <mergeCell ref="DV8:EB8"/>
    <mergeCell ref="BR8:BX8"/>
    <mergeCell ref="BY8:CE8"/>
    <mergeCell ref="CF8:CL8"/>
    <mergeCell ref="CM8:CS8"/>
    <mergeCell ref="CT8:CZ8"/>
    <mergeCell ref="DA8:DG8"/>
    <mergeCell ref="C7:D7"/>
    <mergeCell ref="G8:M8"/>
    <mergeCell ref="N8:T8"/>
    <mergeCell ref="U8:AA8"/>
    <mergeCell ref="AB8:AH8"/>
    <mergeCell ref="AI8:AO8"/>
    <mergeCell ref="AP8:AV8"/>
    <mergeCell ref="AW8:BC8"/>
    <mergeCell ref="BD8:BJ8"/>
    <mergeCell ref="BK8:BQ8"/>
  </mergeCells>
  <conditionalFormatting sqref="B12:B25">
    <cfRule type="dataBar" priority="6">
      <dataBar>
        <cfvo type="num" val="0"/>
        <cfvo type="num" val="1"/>
        <color rgb="FFC5A5DF"/>
      </dataBar>
      <extLst>
        <ext xmlns:x14="http://schemas.microsoft.com/office/spreadsheetml/2009/9/main" uri="{B025F937-C7B1-47D3-B67F-A62EFF666E3E}">
          <x14:id>{6D801420-6F4B-45F5-B789-18842F9D134F}</x14:id>
        </ext>
      </extLst>
    </cfRule>
  </conditionalFormatting>
  <conditionalFormatting sqref="G12:EB25">
    <cfRule type="expression" dxfId="1" priority="9">
      <formula>AND(G$9&gt;=$D12,G$9&lt;=$E12)</formula>
    </cfRule>
  </conditionalFormatting>
  <conditionalFormatting sqref="G9:EB25">
    <cfRule type="expression" dxfId="0" priority="10">
      <formula>G$9=TODAY()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Scroll Bar 9">
              <controlPr defaultSize="0" autoPict="0">
                <anchor moveWithCells="1">
                  <from>
                    <xdr:col>5</xdr:col>
                    <xdr:colOff>609600</xdr:colOff>
                    <xdr:row>5</xdr:row>
                    <xdr:rowOff>38100</xdr:rowOff>
                  </from>
                  <to>
                    <xdr:col>20</xdr:col>
                    <xdr:colOff>236220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801420-6F4B-45F5-B789-18842F9D13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B12:B25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display_week</vt:lpstr>
      <vt:lpstr>Sheet1!task_end</vt:lpstr>
      <vt:lpstr>Sheet1!task_progress</vt:lpstr>
      <vt:lpstr>Sheet1!task_start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Arnas Magilevicius</dc:creator>
  <cp:lastModifiedBy>Arnas Magilevicius</cp:lastModifiedBy>
  <dcterms:created xsi:type="dcterms:W3CDTF">2022-10-18T18:47:52Z</dcterms:created>
  <dcterms:modified xsi:type="dcterms:W3CDTF">2022-11-07T09:31:38Z</dcterms:modified>
</cp:coreProperties>
</file>